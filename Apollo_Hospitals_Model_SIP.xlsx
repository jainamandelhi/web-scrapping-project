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alonibaweja/Desktop/Internship/Models/FINAL/"/>
    </mc:Choice>
  </mc:AlternateContent>
  <xr:revisionPtr revIDLastSave="0" documentId="8_{ED1769F8-EBA8-8D4B-84A2-8E3259699F09}" xr6:coauthVersionLast="47" xr6:coauthVersionMax="47" xr10:uidLastSave="{00000000-0000-0000-0000-000000000000}"/>
  <bookViews>
    <workbookView xWindow="0" yWindow="660" windowWidth="29400" windowHeight="18460" tabRatio="500" activeTab="3" xr2:uid="{00000000-000D-0000-FFFF-FFFF00000000}"/>
  </bookViews>
  <sheets>
    <sheet name="Cover" sheetId="1" r:id="rId1"/>
    <sheet name="Assumptions" sheetId="2" r:id="rId2"/>
    <sheet name="Hosp_Revenue" sheetId="3" r:id="rId3"/>
    <sheet name="Hosp_Cost" sheetId="4" r:id="rId4"/>
    <sheet name="Inc_Statement" sheetId="5" r:id="rId5"/>
    <sheet name="Bal_Sheet" sheetId="6" r:id="rId6"/>
    <sheet name="Cash_Flow" sheetId="7" r:id="rId7"/>
    <sheet name="Hosp_Val" sheetId="8" r:id="rId8"/>
    <sheet name="Pharmacy_Hlth" sheetId="9" r:id="rId9"/>
    <sheet name="Diag_AHLL" sheetId="10" r:id="rId10"/>
    <sheet name="SOTP" sheetId="11" r:id="rId11"/>
    <sheet name="Return_Ratios" sheetId="12" r:id="rId12"/>
    <sheet name="Comp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12" l="1"/>
  <c r="F32" i="12"/>
  <c r="E32" i="12"/>
  <c r="D32" i="12"/>
  <c r="C32" i="12"/>
  <c r="G31" i="12"/>
  <c r="D31" i="12"/>
  <c r="C31" i="12"/>
  <c r="G30" i="12"/>
  <c r="F30" i="12"/>
  <c r="E30" i="12"/>
  <c r="D30" i="12"/>
  <c r="C30" i="12"/>
  <c r="K28" i="12"/>
  <c r="J28" i="12"/>
  <c r="I28" i="12"/>
  <c r="H28" i="12"/>
  <c r="G28" i="12"/>
  <c r="F28" i="12"/>
  <c r="E28" i="12"/>
  <c r="D28" i="12"/>
  <c r="C28" i="12"/>
  <c r="G25" i="12"/>
  <c r="C25" i="12"/>
  <c r="G24" i="12"/>
  <c r="F24" i="12"/>
  <c r="G22" i="12"/>
  <c r="G21" i="12"/>
  <c r="G19" i="12"/>
  <c r="C19" i="12"/>
  <c r="G15" i="12"/>
  <c r="D15" i="12"/>
  <c r="C15" i="12"/>
  <c r="G14" i="12"/>
  <c r="D14" i="12"/>
  <c r="C14" i="12"/>
  <c r="G12" i="12"/>
  <c r="F12" i="12"/>
  <c r="E12" i="12"/>
  <c r="D12" i="12"/>
  <c r="C12" i="12"/>
  <c r="G11" i="12"/>
  <c r="F11" i="12"/>
  <c r="E11" i="12"/>
  <c r="D11" i="12"/>
  <c r="C11" i="12"/>
  <c r="G10" i="12"/>
  <c r="F10" i="12"/>
  <c r="E10" i="12"/>
  <c r="D10" i="12"/>
  <c r="C10" i="12"/>
  <c r="G8" i="12"/>
  <c r="F8" i="12"/>
  <c r="E8" i="12"/>
  <c r="D8" i="12"/>
  <c r="C8" i="12"/>
  <c r="G7" i="12"/>
  <c r="F7" i="12"/>
  <c r="E7" i="12"/>
  <c r="D7" i="12"/>
  <c r="C7" i="12"/>
  <c r="G6" i="12"/>
  <c r="F6" i="12"/>
  <c r="E6" i="12"/>
  <c r="D6" i="12"/>
  <c r="C6" i="12"/>
  <c r="G5" i="12"/>
  <c r="F5" i="12"/>
  <c r="E5" i="12"/>
  <c r="D5" i="12"/>
  <c r="C5" i="12"/>
  <c r="F30" i="11"/>
  <c r="G30" i="11" s="1"/>
  <c r="G28" i="11"/>
  <c r="F28" i="11"/>
  <c r="E28" i="11"/>
  <c r="G20" i="11"/>
  <c r="F20" i="11"/>
  <c r="E20" i="11"/>
  <c r="E7" i="11"/>
  <c r="F7" i="11" s="1"/>
  <c r="G6" i="11"/>
  <c r="F6" i="11"/>
  <c r="E6" i="11"/>
  <c r="H12" i="10"/>
  <c r="C19" i="10" s="1"/>
  <c r="K11" i="10"/>
  <c r="K12" i="10" s="1"/>
  <c r="J11" i="10"/>
  <c r="I11" i="10"/>
  <c r="H11" i="10"/>
  <c r="G11" i="10"/>
  <c r="G12" i="10" s="1"/>
  <c r="F11" i="10"/>
  <c r="F12" i="10" s="1"/>
  <c r="E11" i="10"/>
  <c r="D11" i="10"/>
  <c r="C11" i="10"/>
  <c r="H9" i="10"/>
  <c r="G9" i="10"/>
  <c r="F9" i="10"/>
  <c r="H8" i="10"/>
  <c r="G8" i="10"/>
  <c r="I7" i="10"/>
  <c r="H6" i="10"/>
  <c r="G6" i="10"/>
  <c r="K5" i="10"/>
  <c r="K8" i="10" s="1"/>
  <c r="J5" i="10"/>
  <c r="J8" i="10" s="1"/>
  <c r="I5" i="10"/>
  <c r="H5" i="10"/>
  <c r="H7" i="10" s="1"/>
  <c r="G5" i="10"/>
  <c r="G7" i="10" s="1"/>
  <c r="F5" i="10"/>
  <c r="E5" i="10"/>
  <c r="E12" i="10" s="1"/>
  <c r="D5" i="10"/>
  <c r="E9" i="10" s="1"/>
  <c r="C5" i="10"/>
  <c r="D9" i="10" s="1"/>
  <c r="C22" i="9"/>
  <c r="C21" i="9"/>
  <c r="C23" i="9" s="1"/>
  <c r="C20" i="9"/>
  <c r="C19" i="9"/>
  <c r="H11" i="9"/>
  <c r="G11" i="9"/>
  <c r="D11" i="9"/>
  <c r="C11" i="9"/>
  <c r="K10" i="9"/>
  <c r="J10" i="9"/>
  <c r="I10" i="9"/>
  <c r="H10" i="9"/>
  <c r="G10" i="9"/>
  <c r="F10" i="9"/>
  <c r="F11" i="9" s="1"/>
  <c r="E10" i="9"/>
  <c r="D10" i="9"/>
  <c r="C10" i="9"/>
  <c r="K8" i="9"/>
  <c r="G8" i="9"/>
  <c r="F8" i="9"/>
  <c r="E8" i="9"/>
  <c r="H6" i="9"/>
  <c r="G6" i="9"/>
  <c r="K5" i="9"/>
  <c r="K11" i="9" s="1"/>
  <c r="J5" i="9"/>
  <c r="I5" i="9"/>
  <c r="H5" i="9"/>
  <c r="H7" i="9" s="1"/>
  <c r="G5" i="9"/>
  <c r="G7" i="9" s="1"/>
  <c r="F5" i="9"/>
  <c r="E5" i="9"/>
  <c r="E11" i="9" s="1"/>
  <c r="D5" i="9"/>
  <c r="C5" i="9"/>
  <c r="D8" i="9" s="1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0" i="8"/>
  <c r="C30" i="8"/>
  <c r="C29" i="8"/>
  <c r="D25" i="8"/>
  <c r="C25" i="8"/>
  <c r="C24" i="8"/>
  <c r="C18" i="8"/>
  <c r="C17" i="8"/>
  <c r="C15" i="8"/>
  <c r="E27" i="8" s="1"/>
  <c r="C14" i="8"/>
  <c r="G23" i="7"/>
  <c r="C23" i="7"/>
  <c r="C22" i="7"/>
  <c r="C21" i="12" s="1"/>
  <c r="G21" i="7"/>
  <c r="K19" i="7"/>
  <c r="J19" i="7"/>
  <c r="I19" i="7"/>
  <c r="F19" i="7"/>
  <c r="E19" i="7"/>
  <c r="D19" i="7"/>
  <c r="C19" i="7"/>
  <c r="K17" i="7"/>
  <c r="J17" i="7"/>
  <c r="I17" i="7"/>
  <c r="H17" i="7"/>
  <c r="H19" i="7" s="1"/>
  <c r="K14" i="7"/>
  <c r="H14" i="7"/>
  <c r="F14" i="7"/>
  <c r="F21" i="7" s="1"/>
  <c r="K12" i="7"/>
  <c r="J12" i="7"/>
  <c r="J14" i="7" s="1"/>
  <c r="I12" i="7"/>
  <c r="I14" i="7" s="1"/>
  <c r="H12" i="7"/>
  <c r="F12" i="7"/>
  <c r="F25" i="12" s="1"/>
  <c r="E12" i="7"/>
  <c r="D12" i="7"/>
  <c r="C12" i="7"/>
  <c r="C24" i="12" s="1"/>
  <c r="F9" i="7"/>
  <c r="E9" i="7"/>
  <c r="D9" i="7"/>
  <c r="C9" i="7"/>
  <c r="K7" i="7"/>
  <c r="J7" i="7"/>
  <c r="I7" i="7"/>
  <c r="H7" i="7"/>
  <c r="F7" i="7"/>
  <c r="E7" i="7"/>
  <c r="D7" i="7"/>
  <c r="C7" i="7"/>
  <c r="K6" i="7"/>
  <c r="J6" i="7"/>
  <c r="I6" i="7"/>
  <c r="H6" i="7"/>
  <c r="F6" i="7"/>
  <c r="E6" i="7"/>
  <c r="D6" i="7"/>
  <c r="C6" i="7"/>
  <c r="F5" i="7"/>
  <c r="E5" i="7"/>
  <c r="D5" i="7"/>
  <c r="C5" i="7"/>
  <c r="G40" i="6"/>
  <c r="F40" i="6"/>
  <c r="D40" i="6"/>
  <c r="C40" i="6"/>
  <c r="G38" i="6"/>
  <c r="F38" i="6"/>
  <c r="E38" i="6"/>
  <c r="E40" i="6" s="1"/>
  <c r="D38" i="6"/>
  <c r="C38" i="6"/>
  <c r="F37" i="6"/>
  <c r="E37" i="6"/>
  <c r="D37" i="6"/>
  <c r="C37" i="6"/>
  <c r="K36" i="6"/>
  <c r="J36" i="6"/>
  <c r="I36" i="6"/>
  <c r="H36" i="6"/>
  <c r="G36" i="6"/>
  <c r="F36" i="6"/>
  <c r="E36" i="6"/>
  <c r="D36" i="6"/>
  <c r="C36" i="6"/>
  <c r="G35" i="6"/>
  <c r="G37" i="6" s="1"/>
  <c r="F35" i="6"/>
  <c r="E35" i="6"/>
  <c r="D35" i="6"/>
  <c r="C35" i="6"/>
  <c r="K32" i="6"/>
  <c r="J32" i="6"/>
  <c r="I32" i="6"/>
  <c r="H32" i="6"/>
  <c r="G32" i="6"/>
  <c r="G33" i="6" s="1"/>
  <c r="G39" i="6" s="1"/>
  <c r="F32" i="6"/>
  <c r="E32" i="6"/>
  <c r="D32" i="6"/>
  <c r="C32" i="6"/>
  <c r="G31" i="6"/>
  <c r="F31" i="6"/>
  <c r="E31" i="6"/>
  <c r="D31" i="6"/>
  <c r="C31" i="6"/>
  <c r="G30" i="6"/>
  <c r="F30" i="6"/>
  <c r="E30" i="6"/>
  <c r="D30" i="6"/>
  <c r="C30" i="6"/>
  <c r="K29" i="6"/>
  <c r="J29" i="6"/>
  <c r="I29" i="6"/>
  <c r="H29" i="6"/>
  <c r="G29" i="6"/>
  <c r="F29" i="6"/>
  <c r="E29" i="6"/>
  <c r="D29" i="6"/>
  <c r="C29" i="6"/>
  <c r="C33" i="6" s="1"/>
  <c r="C39" i="6" s="1"/>
  <c r="G24" i="6"/>
  <c r="G16" i="12" s="1"/>
  <c r="F24" i="6"/>
  <c r="F16" i="12" s="1"/>
  <c r="E24" i="6"/>
  <c r="E16" i="12" s="1"/>
  <c r="D24" i="6"/>
  <c r="D16" i="12" s="1"/>
  <c r="C24" i="6"/>
  <c r="C16" i="12" s="1"/>
  <c r="H14" i="6"/>
  <c r="G12" i="6"/>
  <c r="C12" i="6"/>
  <c r="F7" i="6"/>
  <c r="E7" i="6"/>
  <c r="D7" i="6"/>
  <c r="D12" i="6" s="1"/>
  <c r="C7" i="6"/>
  <c r="H20" i="4"/>
  <c r="F20" i="4"/>
  <c r="E20" i="4"/>
  <c r="D20" i="4"/>
  <c r="C20" i="4"/>
  <c r="G15" i="4"/>
  <c r="D15" i="4"/>
  <c r="G14" i="4"/>
  <c r="F14" i="4"/>
  <c r="D14" i="4"/>
  <c r="D13" i="4"/>
  <c r="C13" i="4"/>
  <c r="K12" i="4"/>
  <c r="E12" i="4"/>
  <c r="D12" i="4"/>
  <c r="D16" i="4" s="1"/>
  <c r="C12" i="4"/>
  <c r="E10" i="4"/>
  <c r="D10" i="4"/>
  <c r="C10" i="4"/>
  <c r="K9" i="4"/>
  <c r="J9" i="4"/>
  <c r="I9" i="4"/>
  <c r="H9" i="4"/>
  <c r="G9" i="4"/>
  <c r="F9" i="4"/>
  <c r="E9" i="4"/>
  <c r="D9" i="4"/>
  <c r="C9" i="4"/>
  <c r="C15" i="4" s="1"/>
  <c r="K8" i="4"/>
  <c r="J8" i="4"/>
  <c r="I8" i="4"/>
  <c r="H8" i="4"/>
  <c r="G8" i="4"/>
  <c r="F8" i="4"/>
  <c r="E8" i="4"/>
  <c r="D8" i="4"/>
  <c r="C8" i="4"/>
  <c r="C14" i="4" s="1"/>
  <c r="K7" i="4"/>
  <c r="J7" i="4"/>
  <c r="I7" i="4"/>
  <c r="H7" i="4"/>
  <c r="G7" i="4"/>
  <c r="G13" i="4" s="1"/>
  <c r="F7" i="4"/>
  <c r="E7" i="4"/>
  <c r="D7" i="4"/>
  <c r="C7" i="4"/>
  <c r="K6" i="4"/>
  <c r="K10" i="4" s="1"/>
  <c r="J6" i="4"/>
  <c r="J10" i="4" s="1"/>
  <c r="I6" i="4"/>
  <c r="H6" i="4"/>
  <c r="G6" i="4"/>
  <c r="F6" i="4"/>
  <c r="F10" i="4" s="1"/>
  <c r="E6" i="4"/>
  <c r="D6" i="4"/>
  <c r="C6" i="4"/>
  <c r="G4" i="4"/>
  <c r="F4" i="4"/>
  <c r="E4" i="4"/>
  <c r="D4" i="4"/>
  <c r="C4" i="4"/>
  <c r="E16" i="3"/>
  <c r="H15" i="3"/>
  <c r="G15" i="3"/>
  <c r="F15" i="3"/>
  <c r="D15" i="3"/>
  <c r="K13" i="3"/>
  <c r="G13" i="3"/>
  <c r="F13" i="3"/>
  <c r="E13" i="3"/>
  <c r="D13" i="3"/>
  <c r="J12" i="3"/>
  <c r="J4" i="4" s="1"/>
  <c r="I12" i="3"/>
  <c r="G12" i="3"/>
  <c r="H13" i="3" s="1"/>
  <c r="I11" i="3"/>
  <c r="H11" i="3"/>
  <c r="G11" i="3"/>
  <c r="G8" i="3"/>
  <c r="G16" i="3" s="1"/>
  <c r="F8" i="3"/>
  <c r="F16" i="3" s="1"/>
  <c r="D8" i="3"/>
  <c r="D16" i="3" s="1"/>
  <c r="C8" i="3"/>
  <c r="C16" i="3" s="1"/>
  <c r="K7" i="3"/>
  <c r="J7" i="3"/>
  <c r="K15" i="3" s="1"/>
  <c r="I7" i="3"/>
  <c r="J15" i="3" s="1"/>
  <c r="H7" i="3"/>
  <c r="I15" i="3" s="1"/>
  <c r="F7" i="3"/>
  <c r="F11" i="3" s="1"/>
  <c r="E7" i="3"/>
  <c r="E11" i="3" s="1"/>
  <c r="D7" i="3"/>
  <c r="E15" i="3" s="1"/>
  <c r="C7" i="3"/>
  <c r="K6" i="3"/>
  <c r="J6" i="3"/>
  <c r="J11" i="3" s="1"/>
  <c r="I6" i="3"/>
  <c r="H6" i="3"/>
  <c r="F6" i="3"/>
  <c r="E6" i="3"/>
  <c r="E8" i="3" s="1"/>
  <c r="D6" i="3"/>
  <c r="D11" i="3" s="1"/>
  <c r="C6" i="3"/>
  <c r="K5" i="3"/>
  <c r="J5" i="3"/>
  <c r="I5" i="3"/>
  <c r="I8" i="3" s="1"/>
  <c r="I16" i="3" s="1"/>
  <c r="H5" i="3"/>
  <c r="H8" i="3" s="1"/>
  <c r="H16" i="3" s="1"/>
  <c r="F5" i="3"/>
  <c r="E5" i="3"/>
  <c r="D5" i="3"/>
  <c r="C5" i="3"/>
  <c r="K19" i="2"/>
  <c r="K20" i="4" s="1"/>
  <c r="J19" i="2"/>
  <c r="J20" i="4" s="1"/>
  <c r="I19" i="2"/>
  <c r="I20" i="4" s="1"/>
  <c r="H19" i="2"/>
  <c r="G19" i="2"/>
  <c r="G20" i="4" s="1"/>
  <c r="K17" i="2"/>
  <c r="G17" i="2"/>
  <c r="F17" i="2"/>
  <c r="E17" i="2"/>
  <c r="K10" i="2"/>
  <c r="K12" i="3" s="1"/>
  <c r="K4" i="4" s="1"/>
  <c r="J10" i="2"/>
  <c r="I10" i="2"/>
  <c r="I17" i="2" s="1"/>
  <c r="H10" i="2"/>
  <c r="H12" i="3" s="1"/>
  <c r="H4" i="4" s="1"/>
  <c r="G10" i="2"/>
  <c r="F10" i="2"/>
  <c r="E10" i="2"/>
  <c r="D10" i="2"/>
  <c r="D17" i="2" s="1"/>
  <c r="C10" i="2"/>
  <c r="C17" i="2" s="1"/>
  <c r="G27" i="5"/>
  <c r="F27" i="5"/>
  <c r="E27" i="5"/>
  <c r="D27" i="5"/>
  <c r="C27" i="5"/>
  <c r="K25" i="5"/>
  <c r="J25" i="5"/>
  <c r="I25" i="5"/>
  <c r="H25" i="5"/>
  <c r="K22" i="5"/>
  <c r="J22" i="5"/>
  <c r="I22" i="5"/>
  <c r="H22" i="5"/>
  <c r="K21" i="5"/>
  <c r="J21" i="5"/>
  <c r="I21" i="5"/>
  <c r="H21" i="5"/>
  <c r="G20" i="5"/>
  <c r="F20" i="5"/>
  <c r="E20" i="5"/>
  <c r="D20" i="5"/>
  <c r="C20" i="5"/>
  <c r="K18" i="5"/>
  <c r="J18" i="5"/>
  <c r="I18" i="5"/>
  <c r="H18" i="5"/>
  <c r="G16" i="5"/>
  <c r="F16" i="5"/>
  <c r="E16" i="5"/>
  <c r="D16" i="5"/>
  <c r="C16" i="5"/>
  <c r="K13" i="5"/>
  <c r="J13" i="5"/>
  <c r="I13" i="5"/>
  <c r="H13" i="5"/>
  <c r="K12" i="5"/>
  <c r="J12" i="5"/>
  <c r="H9" i="5"/>
  <c r="G9" i="5"/>
  <c r="F9" i="5"/>
  <c r="E9" i="5"/>
  <c r="D9" i="5"/>
  <c r="K7" i="5"/>
  <c r="J7" i="5"/>
  <c r="I7" i="5"/>
  <c r="H7" i="5"/>
  <c r="K6" i="5"/>
  <c r="J6" i="5"/>
  <c r="I6" i="5"/>
  <c r="I12" i="5" s="1"/>
  <c r="H6" i="5"/>
  <c r="H12" i="5" s="1"/>
  <c r="K5" i="5"/>
  <c r="K8" i="5" s="1"/>
  <c r="I5" i="5"/>
  <c r="I8" i="5" s="1"/>
  <c r="H5" i="5"/>
  <c r="H8" i="5" s="1"/>
  <c r="I22" i="6" l="1"/>
  <c r="I35" i="6" s="1"/>
  <c r="I37" i="6" s="1"/>
  <c r="I5" i="12"/>
  <c r="I9" i="5"/>
  <c r="I19" i="6"/>
  <c r="I31" i="6" s="1"/>
  <c r="I18" i="6"/>
  <c r="K5" i="12"/>
  <c r="K19" i="6"/>
  <c r="K31" i="6" s="1"/>
  <c r="K18" i="6"/>
  <c r="K22" i="6"/>
  <c r="K35" i="6" s="1"/>
  <c r="K37" i="6" s="1"/>
  <c r="J12" i="4"/>
  <c r="J13" i="4"/>
  <c r="J14" i="4"/>
  <c r="J15" i="4"/>
  <c r="H12" i="4"/>
  <c r="H13" i="4"/>
  <c r="H15" i="4"/>
  <c r="H14" i="4"/>
  <c r="G7" i="11"/>
  <c r="E21" i="11"/>
  <c r="F21" i="11" s="1"/>
  <c r="G21" i="11" s="1"/>
  <c r="C18" i="10"/>
  <c r="C20" i="10" s="1"/>
  <c r="E8" i="11"/>
  <c r="F8" i="11" s="1"/>
  <c r="G8" i="11" s="1"/>
  <c r="C18" i="4"/>
  <c r="C19" i="4" s="1"/>
  <c r="D18" i="4"/>
  <c r="E14" i="4"/>
  <c r="G10" i="4"/>
  <c r="G12" i="4"/>
  <c r="G16" i="4" s="1"/>
  <c r="G18" i="4" s="1"/>
  <c r="G19" i="4" s="1"/>
  <c r="F12" i="4"/>
  <c r="J8" i="9"/>
  <c r="I11" i="9"/>
  <c r="I6" i="9"/>
  <c r="F15" i="4"/>
  <c r="D24" i="12"/>
  <c r="D14" i="7"/>
  <c r="D21" i="7" s="1"/>
  <c r="D25" i="12"/>
  <c r="D22" i="7"/>
  <c r="H10" i="4"/>
  <c r="J11" i="9"/>
  <c r="J6" i="9"/>
  <c r="J13" i="3"/>
  <c r="I10" i="4"/>
  <c r="E12" i="6"/>
  <c r="E31" i="12"/>
  <c r="E14" i="12"/>
  <c r="E15" i="12"/>
  <c r="E15" i="4"/>
  <c r="D33" i="6"/>
  <c r="D39" i="6" s="1"/>
  <c r="I4" i="4"/>
  <c r="E13" i="4"/>
  <c r="E16" i="4" s="1"/>
  <c r="E18" i="4" s="1"/>
  <c r="E19" i="4" s="1"/>
  <c r="E33" i="6"/>
  <c r="E39" i="6" s="1"/>
  <c r="J17" i="2"/>
  <c r="J5" i="5"/>
  <c r="J8" i="5" s="1"/>
  <c r="F13" i="4"/>
  <c r="F33" i="6"/>
  <c r="F39" i="6" s="1"/>
  <c r="I7" i="9"/>
  <c r="H18" i="6"/>
  <c r="H24" i="6" s="1"/>
  <c r="H16" i="12" s="1"/>
  <c r="H22" i="6"/>
  <c r="H35" i="6" s="1"/>
  <c r="H37" i="6" s="1"/>
  <c r="H5" i="12"/>
  <c r="D28" i="8"/>
  <c r="D23" i="8"/>
  <c r="E31" i="8"/>
  <c r="C28" i="8"/>
  <c r="E26" i="8"/>
  <c r="C23" i="8"/>
  <c r="D31" i="8"/>
  <c r="D26" i="8"/>
  <c r="C31" i="8"/>
  <c r="C26" i="8"/>
  <c r="E24" i="8"/>
  <c r="E29" i="8"/>
  <c r="D29" i="8"/>
  <c r="D24" i="8"/>
  <c r="D27" i="8"/>
  <c r="E30" i="8"/>
  <c r="C27" i="8"/>
  <c r="E25" i="8"/>
  <c r="I8" i="10"/>
  <c r="I6" i="10"/>
  <c r="J9" i="10"/>
  <c r="I9" i="10"/>
  <c r="I12" i="10"/>
  <c r="E28" i="8"/>
  <c r="J7" i="9"/>
  <c r="I13" i="3"/>
  <c r="J8" i="3"/>
  <c r="J16" i="3" s="1"/>
  <c r="F12" i="6"/>
  <c r="F14" i="12"/>
  <c r="F31" i="12"/>
  <c r="F15" i="12"/>
  <c r="E24" i="12"/>
  <c r="E14" i="7"/>
  <c r="E21" i="7" s="1"/>
  <c r="E25" i="12"/>
  <c r="E22" i="7"/>
  <c r="K8" i="3"/>
  <c r="K16" i="3" s="1"/>
  <c r="K11" i="3"/>
  <c r="H19" i="6"/>
  <c r="H31" i="6" s="1"/>
  <c r="K13" i="4"/>
  <c r="K16" i="4" s="1"/>
  <c r="K18" i="4" s="1"/>
  <c r="K14" i="4"/>
  <c r="K15" i="4"/>
  <c r="C11" i="3"/>
  <c r="C16" i="4"/>
  <c r="E23" i="8"/>
  <c r="J7" i="10"/>
  <c r="K7" i="9"/>
  <c r="K7" i="10"/>
  <c r="J12" i="10"/>
  <c r="K9" i="10"/>
  <c r="C12" i="10"/>
  <c r="I14" i="6"/>
  <c r="J6" i="10"/>
  <c r="D12" i="10"/>
  <c r="H17" i="2"/>
  <c r="D19" i="4"/>
  <c r="C14" i="7"/>
  <c r="C21" i="7" s="1"/>
  <c r="K6" i="9"/>
  <c r="H8" i="9"/>
  <c r="K6" i="10"/>
  <c r="I8" i="9"/>
  <c r="C22" i="12"/>
  <c r="F22" i="7"/>
  <c r="K11" i="5" l="1"/>
  <c r="K15" i="5" s="1"/>
  <c r="K19" i="4"/>
  <c r="J22" i="6"/>
  <c r="J35" i="6" s="1"/>
  <c r="J37" i="6" s="1"/>
  <c r="J19" i="6"/>
  <c r="J31" i="6" s="1"/>
  <c r="J5" i="12"/>
  <c r="K9" i="5"/>
  <c r="J18" i="6"/>
  <c r="F16" i="4"/>
  <c r="F18" i="4" s="1"/>
  <c r="F19" i="4" s="1"/>
  <c r="H16" i="4"/>
  <c r="H18" i="4" s="1"/>
  <c r="I38" i="6"/>
  <c r="I40" i="6" s="1"/>
  <c r="I30" i="6"/>
  <c r="I33" i="6" s="1"/>
  <c r="I39" i="6" s="1"/>
  <c r="I8" i="7"/>
  <c r="D21" i="12"/>
  <c r="D22" i="12"/>
  <c r="D23" i="7"/>
  <c r="D19" i="12"/>
  <c r="K30" i="6"/>
  <c r="K33" i="6" s="1"/>
  <c r="K39" i="6" s="1"/>
  <c r="K8" i="7"/>
  <c r="K38" i="6"/>
  <c r="K40" i="6" s="1"/>
  <c r="E22" i="12"/>
  <c r="E23" i="7"/>
  <c r="E19" i="12"/>
  <c r="E21" i="12"/>
  <c r="F23" i="7"/>
  <c r="F19" i="12"/>
  <c r="F21" i="12"/>
  <c r="F22" i="12"/>
  <c r="F9" i="11"/>
  <c r="I24" i="6"/>
  <c r="I16" i="12" s="1"/>
  <c r="J14" i="6"/>
  <c r="H38" i="6"/>
  <c r="H40" i="6" s="1"/>
  <c r="H8" i="7"/>
  <c r="H30" i="6"/>
  <c r="H33" i="6" s="1"/>
  <c r="H39" i="6" s="1"/>
  <c r="I12" i="4"/>
  <c r="I13" i="4"/>
  <c r="I14" i="4"/>
  <c r="I15" i="4"/>
  <c r="F22" i="11"/>
  <c r="J9" i="5"/>
  <c r="J16" i="4"/>
  <c r="J18" i="4" s="1"/>
  <c r="J24" i="6" l="1"/>
  <c r="J16" i="12" s="1"/>
  <c r="K14" i="6"/>
  <c r="K24" i="6" s="1"/>
  <c r="K16" i="12" s="1"/>
  <c r="F25" i="11"/>
  <c r="G22" i="11"/>
  <c r="H11" i="5"/>
  <c r="H19" i="4"/>
  <c r="F10" i="11"/>
  <c r="F13" i="11" s="1"/>
  <c r="G13" i="11" s="1"/>
  <c r="G15" i="11" s="1"/>
  <c r="G9" i="11"/>
  <c r="J38" i="6"/>
  <c r="J40" i="6" s="1"/>
  <c r="J30" i="6"/>
  <c r="J33" i="6" s="1"/>
  <c r="J39" i="6" s="1"/>
  <c r="J8" i="7"/>
  <c r="I16" i="4"/>
  <c r="I18" i="4" s="1"/>
  <c r="J11" i="5"/>
  <c r="J15" i="5" s="1"/>
  <c r="J19" i="4"/>
  <c r="K6" i="12"/>
  <c r="K19" i="5"/>
  <c r="K30" i="12"/>
  <c r="K16" i="5"/>
  <c r="K10" i="12"/>
  <c r="H15" i="5" l="1"/>
  <c r="C16" i="8"/>
  <c r="J6" i="12"/>
  <c r="J30" i="12"/>
  <c r="J19" i="5"/>
  <c r="J10" i="12"/>
  <c r="J16" i="5"/>
  <c r="I11" i="5"/>
  <c r="I15" i="5" s="1"/>
  <c r="I19" i="4"/>
  <c r="F32" i="11"/>
  <c r="G32" i="11" s="1"/>
  <c r="G34" i="11" s="1"/>
  <c r="G25" i="11"/>
  <c r="K23" i="5"/>
  <c r="K7" i="12"/>
  <c r="K32" i="12"/>
  <c r="K11" i="12"/>
  <c r="K20" i="5"/>
  <c r="K24" i="5" l="1"/>
  <c r="K9" i="7"/>
  <c r="F31" i="8"/>
  <c r="H29" i="8"/>
  <c r="F26" i="8"/>
  <c r="H24" i="8"/>
  <c r="G29" i="8"/>
  <c r="G24" i="8"/>
  <c r="G27" i="8"/>
  <c r="F29" i="8"/>
  <c r="H27" i="8"/>
  <c r="F24" i="8"/>
  <c r="H30" i="8"/>
  <c r="F27" i="8"/>
  <c r="H25" i="8"/>
  <c r="F30" i="8"/>
  <c r="H28" i="8"/>
  <c r="F25" i="8"/>
  <c r="H23" i="8"/>
  <c r="G28" i="8"/>
  <c r="G23" i="8"/>
  <c r="F28" i="8"/>
  <c r="H31" i="8"/>
  <c r="G25" i="8"/>
  <c r="H26" i="8"/>
  <c r="G26" i="8"/>
  <c r="G31" i="8"/>
  <c r="G30" i="8"/>
  <c r="F23" i="8"/>
  <c r="I30" i="12"/>
  <c r="I6" i="12"/>
  <c r="I19" i="5"/>
  <c r="I10" i="12"/>
  <c r="I16" i="5"/>
  <c r="J23" i="5"/>
  <c r="J7" i="12"/>
  <c r="J32" i="12"/>
  <c r="J11" i="12"/>
  <c r="J20" i="5"/>
  <c r="H30" i="12"/>
  <c r="H6" i="12"/>
  <c r="H19" i="5"/>
  <c r="H16" i="5"/>
  <c r="H10" i="12"/>
  <c r="J9" i="7" l="1"/>
  <c r="J24" i="5"/>
  <c r="I7" i="12"/>
  <c r="I23" i="5"/>
  <c r="I11" i="12"/>
  <c r="I32" i="12"/>
  <c r="I20" i="5"/>
  <c r="K24" i="12"/>
  <c r="K25" i="12"/>
  <c r="H7" i="12"/>
  <c r="H23" i="5"/>
  <c r="H32" i="12"/>
  <c r="H11" i="12"/>
  <c r="H20" i="5"/>
  <c r="K26" i="5"/>
  <c r="I24" i="5" l="1"/>
  <c r="I26" i="5"/>
  <c r="I9" i="7"/>
  <c r="J25" i="12"/>
  <c r="J24" i="12"/>
  <c r="K5" i="7"/>
  <c r="K10" i="7" s="1"/>
  <c r="K8" i="12"/>
  <c r="K28" i="5"/>
  <c r="K12" i="12"/>
  <c r="K27" i="5"/>
  <c r="H24" i="5"/>
  <c r="H26" i="5"/>
  <c r="H9" i="7"/>
  <c r="J26" i="5"/>
  <c r="K21" i="7" l="1"/>
  <c r="K22" i="7"/>
  <c r="J5" i="7"/>
  <c r="J10" i="7" s="1"/>
  <c r="J8" i="12"/>
  <c r="J28" i="5"/>
  <c r="J12" i="12"/>
  <c r="J27" i="5"/>
  <c r="I8" i="12"/>
  <c r="I5" i="7"/>
  <c r="I10" i="7" s="1"/>
  <c r="I28" i="5"/>
  <c r="I12" i="12"/>
  <c r="I27" i="5"/>
  <c r="H28" i="5"/>
  <c r="H5" i="7"/>
  <c r="H10" i="7" s="1"/>
  <c r="H8" i="12"/>
  <c r="H6" i="6"/>
  <c r="H27" i="5"/>
  <c r="H12" i="12"/>
  <c r="H25" i="12"/>
  <c r="H24" i="12"/>
  <c r="I25" i="12"/>
  <c r="I24" i="12"/>
  <c r="J22" i="7" l="1"/>
  <c r="J21" i="7"/>
  <c r="H7" i="6"/>
  <c r="I6" i="6"/>
  <c r="K19" i="12"/>
  <c r="K23" i="7"/>
  <c r="K21" i="12"/>
  <c r="K22" i="12"/>
  <c r="I21" i="7"/>
  <c r="I22" i="7"/>
  <c r="H21" i="7"/>
  <c r="H22" i="7"/>
  <c r="F42" i="8"/>
  <c r="F37" i="8"/>
  <c r="E42" i="8"/>
  <c r="E37" i="8"/>
  <c r="F39" i="8"/>
  <c r="E39" i="8"/>
  <c r="F36" i="8"/>
  <c r="F41" i="8"/>
  <c r="F43" i="8"/>
  <c r="F38" i="8"/>
  <c r="E43" i="8"/>
  <c r="E38" i="8"/>
  <c r="F40" i="8"/>
  <c r="E36" i="8"/>
  <c r="E40" i="8"/>
  <c r="E41" i="8"/>
  <c r="J6" i="6" l="1"/>
  <c r="I7" i="6"/>
  <c r="H31" i="12"/>
  <c r="H14" i="12"/>
  <c r="H15" i="12"/>
  <c r="H12" i="6"/>
  <c r="I19" i="12"/>
  <c r="I23" i="7"/>
  <c r="I21" i="12"/>
  <c r="I22" i="12"/>
  <c r="H23" i="7"/>
  <c r="H19" i="12"/>
  <c r="H21" i="12"/>
  <c r="H22" i="12"/>
  <c r="J19" i="12"/>
  <c r="J23" i="7"/>
  <c r="J21" i="12"/>
  <c r="J22" i="12"/>
  <c r="I31" i="12" l="1"/>
  <c r="I14" i="12"/>
  <c r="I15" i="12"/>
  <c r="I12" i="6"/>
  <c r="K6" i="6"/>
  <c r="K7" i="6" s="1"/>
  <c r="J7" i="6"/>
  <c r="J31" i="12" l="1"/>
  <c r="J14" i="12"/>
  <c r="J15" i="12"/>
  <c r="J12" i="6"/>
  <c r="K15" i="12"/>
  <c r="K31" i="12"/>
  <c r="K14" i="12"/>
  <c r="K12" i="6"/>
</calcChain>
</file>

<file path=xl/sharedStrings.xml><?xml version="1.0" encoding="utf-8"?>
<sst xmlns="http://schemas.openxmlformats.org/spreadsheetml/2006/main" count="558" uniqueCount="417">
  <si>
    <t>APOLLO HOSPITALS ENTERPRISE LIMITED</t>
  </si>
  <si>
    <t>3-Statement Financial Model + SOTP Valuation</t>
  </si>
  <si>
    <t>Institutional Sell-Side Research  |  INR Millions  |  FY March Year-End</t>
  </si>
  <si>
    <t>Coverage:</t>
  </si>
  <si>
    <t>Apollo Hospitals Enterprise Ltd  |  NSE: APOLLOHOSP  |  BSE: 508869</t>
  </si>
  <si>
    <t>Model Currency:</t>
  </si>
  <si>
    <t>INR Millions  (1 INR Mn = ₹10 Lakhs = ₹0.1 Crore)</t>
  </si>
  <si>
    <t>Shares Outstanding:</t>
  </si>
  <si>
    <t>143.8 million  (Equity Capital ₹719 Mn, Face Value ₹5)</t>
  </si>
  <si>
    <t>CMP (Reference):</t>
  </si>
  <si>
    <t>₹7,636  (Apr 2026)  |  Market Cap: ~₹1,09,800 Crore</t>
  </si>
  <si>
    <t>Historical Period:</t>
  </si>
  <si>
    <t>FY2022A – FY2025A  |  Source: Annual Reports, MOSL Earnings Update May 2025</t>
  </si>
  <si>
    <t>Forecast Period:</t>
  </si>
  <si>
    <t>FY2026A – FY2030E  |  Conservative trend-based assumptions</t>
  </si>
  <si>
    <t>Last Updated:</t>
  </si>
  <si>
    <t>May 2026</t>
  </si>
  <si>
    <t>COLOR CODING CONVENTION</t>
  </si>
  <si>
    <t>■  Blue Text</t>
  </si>
  <si>
    <t>Hard-coded inputs — historical data &amp; assumptions</t>
  </si>
  <si>
    <t>■  Black Text</t>
  </si>
  <si>
    <t>Calculated formulas and derived figures</t>
  </si>
  <si>
    <t>■  Green Text</t>
  </si>
  <si>
    <t>Cross-sheet links (pulls from another worksheet)</t>
  </si>
  <si>
    <t>■  Red Text</t>
  </si>
  <si>
    <t>External links to other files</t>
  </si>
  <si>
    <t>■  Gray Italic</t>
  </si>
  <si>
    <t>Commentary, notes, and non-numeric labels</t>
  </si>
  <si>
    <t>MODEL NAVIGATION</t>
  </si>
  <si>
    <t>→  Assumptions</t>
  </si>
  <si>
    <t>Central control panel — all growth rates, margins, capex &amp; WC drivers</t>
  </si>
  <si>
    <t>→  Hosp_Revenue</t>
  </si>
  <si>
    <t>Hospital revenue build: beds × occupancy × ARPOB</t>
  </si>
  <si>
    <t>→  Hosp_Cost</t>
  </si>
  <si>
    <t>Hospital cost structure and segment EBITDA bridge</t>
  </si>
  <si>
    <t>→  Inc_Statement</t>
  </si>
  <si>
    <t>Consolidated Income Statement (FY22A–FY30E)</t>
  </si>
  <si>
    <t>→  Bal_Sheet</t>
  </si>
  <si>
    <t>Consolidated Balance Sheet (FY22A–FY30E)</t>
  </si>
  <si>
    <t>→  Cash_Flow</t>
  </si>
  <si>
    <t>Consolidated Cash Flow Statement (FY22A–FY30E)</t>
  </si>
  <si>
    <t>→  Hosp_Val</t>
  </si>
  <si>
    <t>Hospital valuation: EV/EBITDA + Forward P/E sensitivity</t>
  </si>
  <si>
    <t>→  Pharmacy_Hlth</t>
  </si>
  <si>
    <t>Apollo Healthco (pharmacy + Apollo 24/7) — simple model &amp; valuation</t>
  </si>
  <si>
    <t>→  Diag_AHLL</t>
  </si>
  <si>
    <t>Apollo Health &amp; Lifestyle Ltd — diagnostics + primary care</t>
  </si>
  <si>
    <t>→  SOTP</t>
  </si>
  <si>
    <t>Sum-of-the-Parts: pre-demerger vs post-demerger implied valuation</t>
  </si>
  <si>
    <t>⚠  DEMERGER NOTE: Apollo Hospitals is undertaking a composite scheme of arrangement (NCLT order: March 2026; shareholder vote: June 2026). The Healthco segment (pharmacy + Apollo 24|7) and Keimed will be demerged into a new listed entity (Apollo Healthtech Ltd / AHTL). AHEL retains the hospital business. The SOTP tab models both pre-demerger and post-demerger implied valuations.</t>
  </si>
  <si>
    <t>CENTRAL ASSUMPTIONS — Apollo Hospitals Enterprise Ltd  |  INR Millions</t>
  </si>
  <si>
    <t>Blue = hard-coded input  |  Black = formula  |  Historical FY22–FY25: actual reported  |  FY26–FY30: analyst assumptions</t>
  </si>
  <si>
    <t>Description</t>
  </si>
  <si>
    <t>INR Mn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</si>
  <si>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</si>
  <si>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</si>
  <si>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</si>
  <si>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</si>
  <si>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</si>
  <si>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</si>
  <si>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</si>
  <si>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</si>
  <si>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</si>
  <si>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A.  HOSPITAL REVENUE DRIVERS  (India Owned Hospitals)</t>
  </si>
  <si>
    <t>Operating Beds (India owned, end of period)</t>
  </si>
  <si>
    <t xml:space="preserve">  Bed Additions (incremental)</t>
  </si>
  <si>
    <t>Bed Occupancy Rate (%)</t>
  </si>
  <si>
    <t>ARPOB — Avg Revenue Per Occupied Bed (INR/day)</t>
  </si>
  <si>
    <t xml:space="preserve">  ARPOB Growth Assumption (%)</t>
  </si>
  <si>
    <t>Hospital Revenue — Bottoms-Up (INR Mn)</t>
  </si>
  <si>
    <t>Hospital Revenue YoY Growth (%)</t>
  </si>
  <si>
    <t>B.  SEGMENT REVENUE ASSUMPTIONS</t>
  </si>
  <si>
    <t>Healthco Revenue (pharmacy + Apollo 24/7)  — INR Mn</t>
  </si>
  <si>
    <t xml:space="preserve">  Healthco Revenue Growth (%)</t>
  </si>
  <si>
    <t>AHLL Revenue (diagnostics + primary care) — INR Mn</t>
  </si>
  <si>
    <t xml:space="preserve">  AHLL Revenue Growth (%)</t>
  </si>
  <si>
    <t>Consolidated Revenue (check) — INR Mn</t>
  </si>
  <si>
    <t>C.  EBITDA MARGIN ASSUMPTIONS  (Segment Level)</t>
  </si>
  <si>
    <t>Hospital EBITDA Margin — Implied from Cost Ratios (memo)</t>
  </si>
  <si>
    <t>Healthco EBITDA Margin (%)</t>
  </si>
  <si>
    <t>AHLL EBITDA Margin (%)</t>
  </si>
  <si>
    <t>Consolidated EBITDA Margin (%) — reported</t>
  </si>
  <si>
    <t>D.  HOSPITAL COST STRUCTURE  (% of Hospital Revenue)</t>
  </si>
  <si>
    <t>Employee Expenses (% of Hospital Revenue)</t>
  </si>
  <si>
    <t>Consumables &amp; Materials (% of Hospital Revenue)</t>
  </si>
  <si>
    <t>Doctor Payouts (% of Hospital Revenue)</t>
  </si>
  <si>
    <t>Other Operating Expenses (% of Hospital Revenue)</t>
  </si>
  <si>
    <t>E.  P&amp;L BELOW-EBITDA ASSUMPTIONS</t>
  </si>
  <si>
    <t>Depreciation (INR Mn)</t>
  </si>
  <si>
    <t>Interest &amp; Finance Charges (INR Mn)</t>
  </si>
  <si>
    <t>Other Income (INR Mn)</t>
  </si>
  <si>
    <t>Effective Tax Rate (%)</t>
  </si>
  <si>
    <t>Minority Interest (INR Mn)</t>
  </si>
  <si>
    <t>F.  CAPEX &amp; WORKING CAPITAL</t>
  </si>
  <si>
    <t>Total Capex (INR Mn)</t>
  </si>
  <si>
    <t>Debtor Days</t>
  </si>
  <si>
    <t>Inventory Days</t>
  </si>
  <si>
    <t>Payable Days</t>
  </si>
  <si>
    <t>G.  VALUATION PARAMETERS</t>
  </si>
  <si>
    <t>Hospital EV/EBITDA — Base Case</t>
  </si>
  <si>
    <t>Hospital EV/EBITDA — Best Case</t>
  </si>
  <si>
    <t>Hospital Fwd P/E — Base Case</t>
  </si>
  <si>
    <t>Hospital Fwd P/E — Best Case</t>
  </si>
  <si>
    <t>Healthco EV/Sales Multiple</t>
  </si>
  <si>
    <t>AHLL EV/EBITDA Multiple</t>
  </si>
  <si>
    <t>Retained Pharmacy EV/EBITDA</t>
  </si>
  <si>
    <t>Net Debt — FY25A (INR Mn)</t>
  </si>
  <si>
    <t>Minority Interest — FY25A (INR Mn)</t>
  </si>
  <si>
    <t>Shares Outstanding (Mn)</t>
  </si>
  <si>
    <t>Pre-Demerger Conglomerate Discount (%)</t>
  </si>
  <si>
    <t>HOSPITAL REVENUE MODEL — Beds × Occupancy × ARPOB  |  INR Millions</t>
  </si>
  <si>
    <t>Source: Annual Reports, MOSL Earnings Update May 2025. Green cells = pull from Assumptions tab.</t>
  </si>
  <si>
    <t>A.  KEY OPERATING METRICS</t>
  </si>
  <si>
    <t>Operating Beds (India Owned, end of period)</t>
  </si>
  <si>
    <t>Occupied Bed Days (mn days/year)</t>
  </si>
  <si>
    <t>B.  HOSPITAL REVENUE BUILD</t>
  </si>
  <si>
    <t>IP Revenue as % of Total Hospital Revenue</t>
  </si>
  <si>
    <t>Total Hospital Revenue — INR Mn (bottoms-up)</t>
  </si>
  <si>
    <t>Hospital Revenue — Reported / As Used in Model (INR Mn)</t>
  </si>
  <si>
    <t>YoY Revenue Growth (%)</t>
  </si>
  <si>
    <t>C.  ARPOB ANALYSIS</t>
  </si>
  <si>
    <t>ARPOB YoY Growth (%)</t>
  </si>
  <si>
    <t>Implied IP Revenue (ARPOB × Occ Bed Days)  — INR Mn</t>
  </si>
  <si>
    <t>IP Revenue as Reported (INR Mn) — memo</t>
  </si>
  <si>
    <t>D.  PEER ARPOB BENCHMARKS  (FY25, reported)</t>
  </si>
  <si>
    <t xml:space="preserve">  Apollo Hospitals — ARPOB (INR/day)</t>
  </si>
  <si>
    <t xml:space="preserve">  Max Healthcare — ARPOB (INR/day)</t>
  </si>
  <si>
    <t xml:space="preserve">  Fortis Healthcare — ARPOB (INR/day)</t>
  </si>
  <si>
    <t xml:space="preserve">  Narayana Hrudayalaya — ARPOB (INR/day)</t>
  </si>
  <si>
    <t>NOTE ON BED COUNT: "Operating Beds" above = census beds used in ARPOB-based revenue model (~7,300 FY25A, ~7,600 FY26A). Apollo total network bed count (all facilities incl. managed, AHLL clinics) = 7,875 (FY24), ~8,000 (FY25), 8,131 (FY26; company reported). The two figures differ because ARPOB is calculated only on owned-operated census beds. FY26A bottoms-up check: 7,600 beds × 68% occ × ₹67,500/day × 365 = ₹127,340 Mn ≈ reported ₹127,501 Mn. ✓</t>
  </si>
  <si>
    <t>HOSPITAL COST MODEL — Segment EBITDA Build  |  INR Millions</t>
  </si>
  <si>
    <t>Green = linked from Assumptions. Ratios = % of Hospital Revenue. Historical margins approximate from segment disclosures.</t>
  </si>
  <si>
    <t>Hospital Revenue (INR Mn)</t>
  </si>
  <si>
    <t>A.  COST RATIOS  (% of Hospital Revenue — Blue = input from Assumptions)</t>
  </si>
  <si>
    <t>Employee Expenses (% of Revenue)</t>
  </si>
  <si>
    <t>Consumables &amp; Materials (% of Revenue)</t>
  </si>
  <si>
    <t>Doctor Payouts (% of Revenue)</t>
  </si>
  <si>
    <t>Other Operating Expenses (% of Revenue)</t>
  </si>
  <si>
    <t>Total Cost Ratio (% of Revenue)</t>
  </si>
  <si>
    <t>B.  ABSOLUTE COST VALUES  (INR Mn)</t>
  </si>
  <si>
    <t>Employee Expenses (INR Mn)</t>
  </si>
  <si>
    <t>Consumables &amp; Materials (INR Mn)</t>
  </si>
  <si>
    <t>Doctor Payouts (INR Mn)</t>
  </si>
  <si>
    <t>Other Operating Expenses (INR Mn)</t>
  </si>
  <si>
    <t>Total Hospital Operating Costs (INR Mn)</t>
  </si>
  <si>
    <t>C.  HOSPITAL SEGMENT EBITDA</t>
  </si>
  <si>
    <t>Hospital EBITDA (INR Mn)</t>
  </si>
  <si>
    <t>Hospital EBITDA Margin (%)</t>
  </si>
  <si>
    <t>Hospital EBITDA Margin — Assumptions Input (%)</t>
  </si>
  <si>
    <t>CONSOLIDATED INCOME STATEMENT  |  Apollo Hospitals Enterprise Ltd  |  INR Millions</t>
  </si>
  <si>
    <t>FY ends March. Historical: Annual Report / MOSL May 2025. Forecasts: analyst estimates linked from Assumptions.</t>
  </si>
  <si>
    <t>A.  REVENUE BY SEGMENT  (INR Mn)</t>
  </si>
  <si>
    <t>Healthcare Services (Hospitals)</t>
  </si>
  <si>
    <t>Apollo Healthco (Pharmacy + Apollo 24/7)</t>
  </si>
  <si>
    <t>Apollo Health &amp; Lifestyle (Diagnostics + Primary Care)</t>
  </si>
  <si>
    <t>Total Revenue</t>
  </si>
  <si>
    <t xml:space="preserve">  Revenue Growth (%)</t>
  </si>
  <si>
    <t>B.  EBITDA BRIDGE  (INR Mn)</t>
  </si>
  <si>
    <t>Hospital EBITDA</t>
  </si>
  <si>
    <t>Healthco EBITDA</t>
  </si>
  <si>
    <t>AHLL EBITDA</t>
  </si>
  <si>
    <t>Corp / Eliminations / Unallocated</t>
  </si>
  <si>
    <t>EBITDA</t>
  </si>
  <si>
    <t xml:space="preserve">  EBITDA Margin (%)</t>
  </si>
  <si>
    <t>C.  P&amp;L BELOW EBITDA  (INR Mn)</t>
  </si>
  <si>
    <t>Less: Depreciation &amp; Amortisation</t>
  </si>
  <si>
    <t>EBIT</t>
  </si>
  <si>
    <t xml:space="preserve">  EBIT Margin (%)</t>
  </si>
  <si>
    <t>Less: Interest &amp; Finance Charges</t>
  </si>
  <si>
    <t>Add: Other Income</t>
  </si>
  <si>
    <t>Profit Before Tax (PBT)</t>
  </si>
  <si>
    <t>Less: Tax</t>
  </si>
  <si>
    <t>Less: Minority Interest</t>
  </si>
  <si>
    <t>Profit After Tax (PAT) — Reported</t>
  </si>
  <si>
    <t xml:space="preserve">  PAT Margin (%)</t>
  </si>
  <si>
    <t>EPS (INR) — Diluted</t>
  </si>
  <si>
    <t xml:space="preserve">  EPS — Reported Historical (INR)</t>
  </si>
  <si>
    <t>CONSOLIDATED BALANCE SHEET  |  Apollo Hospitals Enterprise Ltd  |  INR Millions</t>
  </si>
  <si>
    <t>Historical: Annual Report / MOSL. Forecasts: driven by capex, D&amp;A, WC assumptions. Lease liabilities shown separately per Ind AS 116.</t>
  </si>
  <si>
    <t>EQUITY &amp; LIABILITIES</t>
  </si>
  <si>
    <t>Equity Share Capital</t>
  </si>
  <si>
    <t>Reserves &amp; Surplus</t>
  </si>
  <si>
    <t>Net Worth (Equity + Reserves)</t>
  </si>
  <si>
    <t>Minority Interest</t>
  </si>
  <si>
    <t>Total Borrowings (Bank Debt)</t>
  </si>
  <si>
    <t>Lease Liabilities (Ind AS 116)</t>
  </si>
  <si>
    <t>Deferred Tax &amp; Other LT Liabilities</t>
  </si>
  <si>
    <t>TOTAL EQUITY &amp; LIABILITIES</t>
  </si>
  <si>
    <t>ASSETS</t>
  </si>
  <si>
    <t>Net Fixed Assets (incl. ROU)</t>
  </si>
  <si>
    <t>Capital Work-in-Progress</t>
  </si>
  <si>
    <t>Goodwill &amp; Intangibles</t>
  </si>
  <si>
    <t>Investments (LT + Current)</t>
  </si>
  <si>
    <t>Trade Receivables</t>
  </si>
  <si>
    <t>Inventories</t>
  </si>
  <si>
    <t>Cash &amp; Bank Balances</t>
  </si>
  <si>
    <t>Other Current Assets &amp; Loans</t>
  </si>
  <si>
    <t>Less: Trade Payables</t>
  </si>
  <si>
    <t>Less: Other Current Liabilities &amp; Provisions</t>
  </si>
  <si>
    <t>TOTAL ASSETS</t>
  </si>
  <si>
    <t>WORKING CAPITAL ANALYSIS  (clearly itemised)</t>
  </si>
  <si>
    <t>GROSS CURRENT ASSETS</t>
  </si>
  <si>
    <t>Total Gross Current Assets</t>
  </si>
  <si>
    <t>GROSS CURRENT LIABILITIES</t>
  </si>
  <si>
    <t>Trade Payables</t>
  </si>
  <si>
    <t>Other Current Liabilities &amp; Provisions</t>
  </si>
  <si>
    <t>Total Gross Current Liabilities</t>
  </si>
  <si>
    <t>Net Working Capital  (ex-Cash = Recv+Inv–Pay–OtherCL)</t>
  </si>
  <si>
    <t>Net Working Capital  (incl. Cash)</t>
  </si>
  <si>
    <t>NWC as % of Revenue (ex-cash)</t>
  </si>
  <si>
    <t>Note: WC rows above pull directly from BS items. Positive NWC = net asset position. Apollo's pharmacy segment typically shows negative NWC (favourable). Cash excluded from NWC for operational clarity.</t>
  </si>
  <si>
    <t>CONSOLIDATED CASH FLOW STATEMENT  |  Apollo Hospitals Enterprise Ltd  |  INR Millions</t>
  </si>
  <si>
    <t>Historical: Annual Report / MOSL. Green = cross-sheet links. FCF = CFO minus Capex.</t>
  </si>
  <si>
    <t>A.  CASH FROM OPERATIONS  (INR Mn)</t>
  </si>
  <si>
    <t>Profit After Tax</t>
  </si>
  <si>
    <t>Add: Depreciation &amp; Amortisation</t>
  </si>
  <si>
    <t>Add: Interest Charged</t>
  </si>
  <si>
    <t>(Increase)/Decrease in Working Capital</t>
  </si>
  <si>
    <t>Less: Tax Paid</t>
  </si>
  <si>
    <t>Cash from Operations (CFO)</t>
  </si>
  <si>
    <t>B.  CASH FROM INVESTING  (INR Mn)</t>
  </si>
  <si>
    <t>Capital Expenditure (Capex)</t>
  </si>
  <si>
    <t>Other Investing (net)</t>
  </si>
  <si>
    <t>Cash from Investing (CFI)</t>
  </si>
  <si>
    <t>C.  CASH FROM FINANCING  (INR Mn)</t>
  </si>
  <si>
    <t>Net Debt Raised/(Repaid)</t>
  </si>
  <si>
    <t>Interest Paid</t>
  </si>
  <si>
    <t>Dividends Paid</t>
  </si>
  <si>
    <t>Cash from Financing (CFF)</t>
  </si>
  <si>
    <t>D.  SUMMARY</t>
  </si>
  <si>
    <t>Net Change in Cash</t>
  </si>
  <si>
    <t>Free Cash Flow (FCF = CFO + Capex)</t>
  </si>
  <si>
    <t>FCF Yield (% of Market Cap — ref only)</t>
  </si>
  <si>
    <t>HOSPITAL SEGMENT VALUATION  |  EV/EBITDA + Forward P/E  |  INR Millions</t>
  </si>
  <si>
    <t>Primary: EV/EBITDA. Cross-check: Forward P/E. Peer table included. Reference CMP: ₹7,636 (Apr 2026). Shares: 143.8 Mn.</t>
  </si>
  <si>
    <t>A.  PEER BENCHMARKING — Hospital Sector  (FY25/26, approximate)</t>
  </si>
  <si>
    <t>Company</t>
  </si>
  <si>
    <t>EV/EBITDA (FY25)</t>
  </si>
  <si>
    <t>EV/EBITDA (FY26E)</t>
  </si>
  <si>
    <t>P/E (FY25)</t>
  </si>
  <si>
    <t>P/E (FY26E)</t>
  </si>
  <si>
    <t>EBITDA Margin</t>
  </si>
  <si>
    <t>Occ Rate</t>
  </si>
  <si>
    <t>ARPOB (₹k/day)</t>
  </si>
  <si>
    <t xml:space="preserve">  Apollo Hospitals (APHS)</t>
  </si>
  <si>
    <t>13.9%</t>
  </si>
  <si>
    <t>69%</t>
  </si>
  <si>
    <t xml:space="preserve">  Max Healthcare (MAXHEALTH)</t>
  </si>
  <si>
    <t>18.0%</t>
  </si>
  <si>
    <t>72%</t>
  </si>
  <si>
    <t xml:space="preserve">  Fortis Healthcare (FORTIS)</t>
  </si>
  <si>
    <t>11.0%</t>
  </si>
  <si>
    <t>65%</t>
  </si>
  <si>
    <t xml:space="preserve">  Narayana Hrudayalaya (NH)</t>
  </si>
  <si>
    <t>14.5%</t>
  </si>
  <si>
    <t>62%</t>
  </si>
  <si>
    <t xml:space="preserve">  Aster DM Healthcare (ASTER)</t>
  </si>
  <si>
    <t>9.5%</t>
  </si>
  <si>
    <t>58%</t>
  </si>
  <si>
    <t>Note: Apollo commanded premium to peers given integrated platform. Post-demerger, pure-play hospital comps (Max, NH) become more relevant benchmarks.</t>
  </si>
  <si>
    <t>B.  EV/EBITDA VALUATION — Hospital Business  (FY26E/FY27E)</t>
  </si>
  <si>
    <t>Hospital EBITDA — FY26A (INR Mn)</t>
  </si>
  <si>
    <t>Hospital EBITDA — FY26E (INR Mn)</t>
  </si>
  <si>
    <t>Hospital EBITDA — FY27E (INR Mn)</t>
  </si>
  <si>
    <t>Net Debt — FY26A (INR Mn)</t>
  </si>
  <si>
    <t>B1.  EV/EBITDA SENSITIVITY TABLE — Implied Price per Share (INR)</t>
  </si>
  <si>
    <t>EV/EBITDA Multiple</t>
  </si>
  <si>
    <t>Hosp EV (FY26E EBITDA)</t>
  </si>
  <si>
    <t>Equity Val (FY26E)</t>
  </si>
  <si>
    <t>Price/Share (FY26E)</t>
  </si>
  <si>
    <t>Hosp EV (FY27E EBITDA)</t>
  </si>
  <si>
    <t>Equity Val (FY27E)</t>
  </si>
  <si>
    <t>Price/Share (FY27E)</t>
  </si>
  <si>
    <t>22x</t>
  </si>
  <si>
    <t>24x</t>
  </si>
  <si>
    <t>26x</t>
  </si>
  <si>
    <t>28x</t>
  </si>
  <si>
    <t>30x</t>
  </si>
  <si>
    <t>32x</t>
  </si>
  <si>
    <t>34x</t>
  </si>
  <si>
    <t>36x</t>
  </si>
  <si>
    <t>38x</t>
  </si>
  <si>
    <t>← Highlighted row (28x) = base case multiple. Net debt includes bank borrowings; excludes lease liabilities.</t>
  </si>
  <si>
    <t>C.  FORWARD P/E VALUATION — Consolidated  (Cross-check)</t>
  </si>
  <si>
    <t>P/E Multiple</t>
  </si>
  <si>
    <t>EPS FY26E</t>
  </si>
  <si>
    <t>Price (FY26E)</t>
  </si>
  <si>
    <t>EPS FY27E</t>
  </si>
  <si>
    <t>Price (FY27E)</t>
  </si>
  <si>
    <t>35x</t>
  </si>
  <si>
    <t>40x</t>
  </si>
  <si>
    <t>44x</t>
  </si>
  <si>
    <t>45x</t>
  </si>
  <si>
    <t>50x</t>
  </si>
  <si>
    <t>52x</t>
  </si>
  <si>
    <t>55x</t>
  </si>
  <si>
    <t>60x</t>
  </si>
  <si>
    <t>← Highlighted row (45x) = base case. Pure-play hospital post-demerger: Max ~40-55x, NH ~35-42x. Apollo premium 45-52x range is appropriate.</t>
  </si>
  <si>
    <t>APOLLO HEALTHCO — Pharmacy + Apollo 24/7  |  Simple Model  |  INR Millions</t>
  </si>
  <si>
    <t>DEMERGER: Apollo Healthco + Keimed to be merged into new listed entity Apollo Healthtech Ltd (AHTL). NCLT order Mar 2026. This business will be separately listed post-scheme. Valuation on EV/Sales and EV/EBITDA once profitable.</t>
  </si>
  <si>
    <t>A.  REVENUE MODEL</t>
  </si>
  <si>
    <t>Healthco Total Revenue (INR Mn)</t>
  </si>
  <si>
    <t xml:space="preserve">  Offline Pharmacy Revenue (INR Mn)</t>
  </si>
  <si>
    <t xml:space="preserve">  Apollo 24/7 Revenue (GMV × Take Rate ≈37-45%)</t>
  </si>
  <si>
    <t>Revenue Growth (%)</t>
  </si>
  <si>
    <t>B.  EBITDA &amp; PROFITABILITY</t>
  </si>
  <si>
    <t>EBITDA Margin (%)</t>
  </si>
  <si>
    <t>EBITDA (INR Mn)</t>
  </si>
  <si>
    <t>GMV — Apollo 24/7 (INR Mn)</t>
  </si>
  <si>
    <t>Pharmacy Store Count (end of period)</t>
  </si>
  <si>
    <t>C.  VALUATION — Apollo Healthco / AHTL (Post-Demerger)</t>
  </si>
  <si>
    <t>Post-demerger, AHTL (Healthco + Keimed) will be separately listed. Valuation uses EV/Sales (since EBITDA is small/near breakeven in near-term) and EV/EBITDA (once profitable by FY27). Comps: Bright-Chemist, PharmEasy (unlisted); closest listed proxy = Tata 1mg (unlisted), MedPlus.</t>
  </si>
  <si>
    <t>EV/Sales Multiple — Base Case</t>
  </si>
  <si>
    <t>EV/Sales Multiple — Bull Case</t>
  </si>
  <si>
    <t>EV/EBITDA Multiple (FY27E)</t>
  </si>
  <si>
    <t>Healthco Revenue FY26E (INR Mn)</t>
  </si>
  <si>
    <t>Healthco Revenue FY27E (INR Mn)</t>
  </si>
  <si>
    <t>Healthco EBITDA FY27E (INR Mn)</t>
  </si>
  <si>
    <t>Implied EV — EV/Sales Base (INR Mn)</t>
  </si>
  <si>
    <t>Implied EV — EV/EBITDA FY27E (INR Mn)</t>
  </si>
  <si>
    <t>APOLLO HEALTH &amp; LIFESTYLE (AHLL) — Diagnostics + Primary Care  |  INR Millions</t>
  </si>
  <si>
    <t>AHLL: Diagnostics + Primary Care (Apollo Clinic) + Specialty Care + Cradle. Retained within AHEL post-demerger. Simple top-down model.</t>
  </si>
  <si>
    <t>AHLL Total Revenue (INR Mn)</t>
  </si>
  <si>
    <t xml:space="preserve">  Diagnostics (INR Mn)</t>
  </si>
  <si>
    <t xml:space="preserve">  Primary Care / Apollo Clinic (INR Mn)</t>
  </si>
  <si>
    <t xml:space="preserve">  Specialty Care (INR Mn)</t>
  </si>
  <si>
    <t>AHLL EBITDA (INR Mn)</t>
  </si>
  <si>
    <t>Daily Footfalls (approx, pan-India)</t>
  </si>
  <si>
    <t>C.  VALUATION — AHLL (Retained in AHEL Post-Demerger)</t>
  </si>
  <si>
    <t>AHLL is retained within Apollo Hospitals post-demerger. Valued as part of AHEL on EV/EBITDA. Peer comps: Metropolis Healthcare (~25x EV/EBITDA), Dr Lal PathLabs (~28x), Vijaya Diagnostics (~22x). Primary care segment commands lower multiple. Blended 20x used for AHLL.</t>
  </si>
  <si>
    <t>EV/EBITDA Multiple — Base Case</t>
  </si>
  <si>
    <t>EV/EBITDA Multiple — Bull Case</t>
  </si>
  <si>
    <t>AHLL EBITDA FY26E (INR Mn)</t>
  </si>
  <si>
    <t>AHLL EBITDA FY27E (INR Mn)</t>
  </si>
  <si>
    <t>Implied AHLL EV — FY26E (INR Mn)</t>
  </si>
  <si>
    <t>SUM-OF-THE-PARTS VALUATION  |  Apollo Hospitals Enterprise Ltd  |  INR Millions</t>
  </si>
  <si>
    <t>Pre-demerger: AHEL valued as conglomerate. Post-demerger: AHEL = pure-play hospital + AHLL; AHTL (Healthco) = separately listed. AHEL shareholders receive AHTL shares on demerger record date.</t>
  </si>
  <si>
    <t>Component</t>
  </si>
  <si>
    <t>Methodology</t>
  </si>
  <si>
    <t>Multiple / Rate</t>
  </si>
  <si>
    <t>EBITDA / Base (INR Mn)</t>
  </si>
  <si>
    <t>Implied EV (INR Mn)</t>
  </si>
  <si>
    <t>Value / Share (INR)</t>
  </si>
  <si>
    <t>PRE-DEMERGER SOTP  (AHEL as integrated healthcare platform — FY26E)</t>
  </si>
  <si>
    <t>Hospital Business</t>
  </si>
  <si>
    <t>Apollo Healthco (Pharmacy + 24/7)</t>
  </si>
  <si>
    <t>EV/Revenue (FY26E)</t>
  </si>
  <si>
    <t>AHLL (Diagnostics + Primary Care)</t>
  </si>
  <si>
    <t>Total Segment EV (Sum of Parts)</t>
  </si>
  <si>
    <t>Less: Conglomerate / Holdco Discount (%)</t>
  </si>
  <si>
    <t>Pre-demerger integrated discount</t>
  </si>
  <si>
    <t>Less: Net Debt (Bank Borrowings – Cash, FY25A)</t>
  </si>
  <si>
    <t>Less: Minority Interest (FY25A)</t>
  </si>
  <si>
    <t>Equity Value — Pre-Demerger (INR Mn)</t>
  </si>
  <si>
    <t>CMP (Reference)</t>
  </si>
  <si>
    <t>Implied Upside / (Downside) — Pre-Demerger</t>
  </si>
  <si>
    <t>POST-DEMERGER SOTP  (AHEL = pure-play hospital + AHLL;  AHTL = Healthco separately listed)</t>
  </si>
  <si>
    <t>Post-demerger, each AHEL shareholder receives AHTL shares in exchange ratio (TBD at scheme finalization). AHEL (rump) = hospital + AHLL. AHTL = pharmacy + digital health + Keimed. Pure-play hospital multiple may expand; conglomerate discount eliminated.</t>
  </si>
  <si>
    <t>AHEL (Rump) — Hospital + AHLL</t>
  </si>
  <si>
    <t>Multiple</t>
  </si>
  <si>
    <t>EBITDA (FY26E)</t>
  </si>
  <si>
    <t>Hospital Business (pure-play premium post-demerger)</t>
  </si>
  <si>
    <t>AHLL (retained — diagnostics + primary care)</t>
  </si>
  <si>
    <t>AHEL Total EV (Hospital + AHLL)</t>
  </si>
  <si>
    <t>Less: Net Debt (allocated to AHEL rump, FY25A)</t>
  </si>
  <si>
    <t>Less: Minority Interest (AHEL rump)</t>
  </si>
  <si>
    <t>AHEL Equity Value (Post-Demerger)</t>
  </si>
  <si>
    <t>AHTL (Demerged Healthco) — Value Accruing to AHEL Shareholders</t>
  </si>
  <si>
    <t>Apollo Healthtech Ltd (AHTL) — implied EV (FY26E EV/Sales)</t>
  </si>
  <si>
    <t>Less: Debt Allocated to AHTL (INR Mn)</t>
  </si>
  <si>
    <t>AHTL Equity Value (to AHEL shareholders)</t>
  </si>
  <si>
    <t>COMBINED POST-DEMERGER VALUE TO AHEL SHAREHOLDERS (AHEL + AHTL)</t>
  </si>
  <si>
    <t>Reference CMP (INR/share)</t>
  </si>
  <si>
    <t>Implied Upside / (Downside) — Post-Demerger Combined</t>
  </si>
  <si>
    <t>ANALYST NOTE — DEMERGER IMPACT ON VALUATION:
Pre-demerger: Apollo commanded 30-35x EV/EBITDA as an integrated platform (conglomerate premium). Post-demerger: (1) AHEL (hospital) may trade at 30-35x EV/EBITDA as pure-play (inline with Max Healthcare). (2) AHTL (pharmacy/digital) valued on EV/Sales until profitable — near-term drag. (3) Net effect: demerger likely value-neutral to slightly value-accretive IF hospital gets re-rated as pure-play and AHTL reaches EBITDA breakeven (management guides Q2/Q3 FY26). Conglomerate discount eliminated. Key risk: AHTL loses cross-sell synergies; hospital loses pharmacy distribution network. Analyst should stress-test AHTL at 1x-3x EV/Sales.</t>
  </si>
  <si>
    <t>RETURN RATIOS &amp; CREDIT METRICS  |  Apollo Hospitals Enterprise Ltd  |  INR Millions</t>
  </si>
  <si>
    <t>All ratios derived from Inc_Statement, Bal_Sheet, and Cash_Flow. FCF = CFO – Capex (capex shown as negative in CF). ROCE uses average capital employed.</t>
  </si>
  <si>
    <t>A.  PROFITABILITY &amp; RETURNS</t>
  </si>
  <si>
    <t>Revenue (INR Mn)  [ref]</t>
  </si>
  <si>
    <t>EBITDA (INR Mn)  [ref]</t>
  </si>
  <si>
    <t>EBIT (INR Mn)  [ref]</t>
  </si>
  <si>
    <t>PAT (INR Mn)  [ref]</t>
  </si>
  <si>
    <t>EBIT Margin (%)</t>
  </si>
  <si>
    <t>Net Profit (PAT) Margin (%)</t>
  </si>
  <si>
    <t>ROCE  (EBIT / Capital Employed) (%)</t>
  </si>
  <si>
    <t>ROE  (PAT / Net Worth) (%)</t>
  </si>
  <si>
    <t>Asset Turnover  (Revenue / Total Assets)  (x)</t>
  </si>
  <si>
    <t>B.  FREE CASH FLOW RATIOS</t>
  </si>
  <si>
    <t>Free Cash Flow — FCF (INR Mn)  [ref]</t>
  </si>
  <si>
    <t>FCF / Revenue (%)</t>
  </si>
  <si>
    <t>FCF / EBITDA (%)</t>
  </si>
  <si>
    <t>FCFF  (EBIT×(1–t) + D&amp;A – ΔWC – Capex)  [INR Mn]</t>
  </si>
  <si>
    <t>FCFF / Revenue (%)</t>
  </si>
  <si>
    <t>C.  LEVERAGE &amp; INTEREST COVERAGE</t>
  </si>
  <si>
    <t>Net Debt  (Borrowings + Lease – Cash)  [INR Mn]</t>
  </si>
  <si>
    <t>Net Debt / EBITDA  (x)</t>
  </si>
  <si>
    <t>Total Debt / Equity  (x)</t>
  </si>
  <si>
    <t>Interest Coverage  (EBIT / Interest)  (x)</t>
  </si>
  <si>
    <t>Notes: Capital Employed = Net Worth + Minority Interest + Total Borrowings (ex-Lease). FCFF approximated as EBIT×(1–ETR) + D&amp;A + ΔWC (from CF) – |Capex|. Net Debt includes Lease Liabilities per Ind AS 116.</t>
  </si>
  <si>
    <t>PEER COMPARABLES  |  Hospital Sector India  |  FY2022A–FY2025A</t>
  </si>
  <si>
    <t>Source: Annual Reports, Stock Exchange Filings, ICICI Securities / Nomura Estimates. FCFF = EBIT×(1–ETR) + D&amp;A – ΔWC – Capex. All figures INR Millions unless stated. Healthco/AHTL not separately listed — Apollo figures are consolidated AHEL.</t>
  </si>
  <si>
    <t>Company / Metric</t>
  </si>
  <si>
    <t>FY2022A</t>
  </si>
  <si>
    <t>FY2023A</t>
  </si>
  <si>
    <t>FY2024A</t>
  </si>
  <si>
    <t>FY2025A</t>
  </si>
  <si>
    <t>A.  FCFF / REVENUE (%)</t>
  </si>
  <si>
    <t>Apollo Hospitals (AHEL Consol.)</t>
  </si>
  <si>
    <t>Max Healthcare (MHIL)</t>
  </si>
  <si>
    <t>Narayana Hrudayalaya (NH)</t>
  </si>
  <si>
    <t>Fortis Healthcare</t>
  </si>
  <si>
    <t>Rainbow Childrens Medicare</t>
  </si>
  <si>
    <t>Aster DM Healthcare (India ops)</t>
  </si>
  <si>
    <t>B.  EBITDA MARGIN (%)</t>
  </si>
  <si>
    <t>C.  REVENUE (INR Mn)</t>
  </si>
  <si>
    <t>D.  CAPEX / REVENUE (%)  — Capex Intensity</t>
  </si>
  <si>
    <t>Sources: Annual Reports FY2022–FY2025; ICICI Securities India Healthcare Report (Oct 2025); Nomura Healthcare Initiating Coverage (Jan 2026); Kotak Institutional Equities. FCFF = EBIT×(1–ETR) + D&amp;A – ΔWC – Capex. Apollo revenue includes Healthco &amp; AHLL. Aster DM India-ops only post Gulf-Coast divestiture. Rainbow financials adjusted for Bankers Hospital acquisition. All figures approximate and subject to restatements.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</si>
</sst>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#,##0.0;\(#,##0.0\);\-"/>
    <numFmt numFmtId="167" formatCode="0.0\x;\(0.0&quot;x)&quot;;\-"/>
    <numFmt numFmtId="168" formatCode="0.0%"/>
    <numFmt numFmtId="169" formatCode="0.0\x"/>
    <numFmt numFmtId="170" formatCode="0.00\x"/>
  </numFmts>
  <fonts count="34" x14ac:knownFonts="1">
    <font>
      <sz val="11"/>
      <color theme="1"/>
      <name val="Calibri"/>
      <family val="2"/>
      <charset val="1"/>
    </font>
    <font>
      <b/>
      <sz val="20"/>
      <color rgb="FF1F4E79"/>
      <name val="Arial"/>
      <family val="2"/>
      <charset val="1"/>
    </font>
    <font>
      <b/>
      <sz val="14"/>
      <color rgb="FF2E75B6"/>
      <name val="Arial"/>
      <family val="2"/>
      <charset val="1"/>
    </font>
    <font>
      <i/>
      <sz val="11"/>
      <color rgb="FF595959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8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595959"/>
      <name val="Arial"/>
      <family val="2"/>
      <charset val="1"/>
    </font>
    <font>
      <b/>
      <sz val="10"/>
      <color rgb="FF2E75B6"/>
      <name val="Arial"/>
      <family val="2"/>
      <charset val="1"/>
    </font>
    <font>
      <i/>
      <sz val="9"/>
      <color rgb="FF7F3F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1F4E79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  <font>
      <i/>
      <sz val="10"/>
      <color rgb="FF0000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</font>
    <font>
      <sz val="10"/>
      <color rgb="FF008000"/>
      <name val="Arial"/>
      <family val="2"/>
      <charset val="1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i/>
      <sz val="9"/>
      <color rgb="FF7F3F00"/>
      <name val="Arial"/>
      <family val="2"/>
    </font>
    <font>
      <b/>
      <sz val="11"/>
      <color rgb="FFFFFFFF"/>
      <name val="Arial"/>
      <family val="2"/>
      <charset val="1"/>
    </font>
    <font>
      <sz val="10"/>
      <color rgb="FF595959"/>
      <name val="Arial"/>
      <family val="2"/>
      <charset val="1"/>
    </font>
    <font>
      <b/>
      <sz val="12"/>
      <color rgb="FF1F4E79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2"/>
      <color rgb="FFC00000"/>
      <name val="Arial"/>
      <family val="2"/>
      <charset val="1"/>
    </font>
    <font>
      <b/>
      <sz val="12"/>
      <color rgb="FF7030A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3"/>
      <color rgb="FF1F4E79"/>
      <name val="Arial"/>
      <family val="2"/>
      <charset val="1"/>
    </font>
    <font>
      <b/>
      <sz val="11"/>
      <color rgb="FF000000"/>
      <name val="Arial"/>
      <family val="2"/>
      <charset val="1"/>
    </font>
    <font>
      <sz val="9"/>
      <color rgb="FF7F3F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CE8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0D0D0"/>
      </patternFill>
    </fill>
    <fill>
      <patternFill patternType="solid">
        <fgColor rgb="FFFFFCE8"/>
        <bgColor rgb="FFFFFFFF"/>
      </patternFill>
    </fill>
    <fill>
      <patternFill patternType="solid">
        <fgColor rgb="FFF5F5F5"/>
        <bgColor rgb="FFFFFCE8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</fills>
  <borders count="6">
    <border>
      <left/>
      <right/>
      <top/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4" fillId="2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wrapText="1" indent="1"/>
    </xf>
    <xf numFmtId="0" fontId="13" fillId="7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5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 indent="2"/>
    </xf>
    <xf numFmtId="165" fontId="15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165" fontId="18" fillId="0" borderId="0" xfId="0" applyNumberFormat="1" applyFont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167" fontId="15" fillId="0" borderId="0" xfId="0" applyNumberFormat="1" applyFont="1" applyAlignment="1">
      <alignment horizontal="right" vertical="center"/>
    </xf>
    <xf numFmtId="164" fontId="20" fillId="0" borderId="0" xfId="0" applyNumberFormat="1" applyFont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2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2"/>
    </xf>
    <xf numFmtId="164" fontId="5" fillId="0" borderId="1" xfId="0" applyNumberFormat="1" applyFont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 indent="2"/>
    </xf>
    <xf numFmtId="164" fontId="21" fillId="0" borderId="1" xfId="0" applyNumberFormat="1" applyFont="1" applyBorder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8" fontId="22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right" vertical="center"/>
    </xf>
    <xf numFmtId="166" fontId="20" fillId="0" borderId="0" xfId="0" applyNumberFormat="1" applyFont="1" applyAlignment="1">
      <alignment horizontal="right" vertical="center"/>
    </xf>
    <xf numFmtId="166" fontId="20" fillId="6" borderId="0" xfId="0" applyNumberFormat="1" applyFont="1" applyFill="1" applyAlignment="1">
      <alignment horizontal="right" vertical="center"/>
    </xf>
    <xf numFmtId="0" fontId="25" fillId="0" borderId="0" xfId="0" applyFont="1" applyAlignment="1">
      <alignment horizontal="center" vertical="center"/>
    </xf>
    <xf numFmtId="169" fontId="15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164" fontId="26" fillId="0" borderId="2" xfId="0" applyNumberFormat="1" applyFont="1" applyBorder="1" applyAlignment="1">
      <alignment horizontal="right" vertical="center"/>
    </xf>
    <xf numFmtId="165" fontId="2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164" fontId="28" fillId="0" borderId="3" xfId="0" applyNumberFormat="1" applyFont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164" fontId="29" fillId="0" borderId="4" xfId="0" applyNumberFormat="1" applyFont="1" applyBorder="1" applyAlignment="1">
      <alignment horizontal="right" vertical="center"/>
    </xf>
    <xf numFmtId="164" fontId="31" fillId="6" borderId="2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165" fontId="26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left" vertical="center" indent="2"/>
    </xf>
    <xf numFmtId="164" fontId="25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168" fontId="8" fillId="3" borderId="5" xfId="0" applyNumberFormat="1" applyFont="1" applyFill="1" applyBorder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24" fillId="8" borderId="0" xfId="0" applyFont="1" applyFill="1" applyAlignment="1">
      <alignment horizontal="left" vertical="center" indent="1"/>
    </xf>
    <xf numFmtId="0" fontId="6" fillId="9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 indent="1"/>
    </xf>
    <xf numFmtId="0" fontId="33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7030A0"/>
      <rgbColor rgb="FFFFFCE8"/>
      <rgbColor rgb="FFF5F5F5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A9D18E"/>
      <rgbColor rgb="FFFF99CC"/>
      <rgbColor rgb="FFCC99FF"/>
      <rgbColor rgb="FFFFCC99"/>
      <rgbColor rgb="FF4472C4"/>
      <rgbColor rgb="FF33CCCC"/>
      <rgbColor rgb="FF99CC00"/>
      <rgbColor rgb="FFFFCC00"/>
      <rgbColor rgb="FFFF8C00"/>
      <rgbColor rgb="FFED7D31"/>
      <rgbColor rgb="FF595959"/>
      <rgbColor rgb="FF70AD47"/>
      <rgbColor rgb="FF003366"/>
      <rgbColor rgb="FF339966"/>
      <rgbColor rgb="FF003300"/>
      <rgbColor rgb="FF333300"/>
      <rgbColor rgb="FF7F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B1:C44"/>
  <sheetViews>
    <sheetView zoomScale="119" zoomScaleNormal="119" workbookViewId="0">
      <selection activeCell="B20" sqref="B20"/>
    </sheetView>
  </sheetViews>
  <sheetFormatPr baseColWidth="10" defaultColWidth="8.6640625" defaultRowHeight="15" x14ac:dyDescent="0.2"/>
  <cols>
    <col min="1" max="1" width="3" customWidth="1"/>
    <col min="2" max="2" width="48" customWidth="1"/>
    <col min="3" max="3" width="40" customWidth="1"/>
    <col min="4" max="4" width="5" customWidth="1"/>
  </cols>
  <sheetData>
    <row r="1" spans="2:3" ht="19.5" customHeight="1" x14ac:dyDescent="0.2"/>
    <row r="2" spans="2:3" ht="39.75" customHeight="1" x14ac:dyDescent="0.2">
      <c r="B2" s="11" t="s">
        <v>0</v>
      </c>
      <c r="C2" s="11"/>
    </row>
    <row r="3" spans="2:3" ht="19.5" customHeight="1" x14ac:dyDescent="0.2">
      <c r="B3" s="10" t="s">
        <v>1</v>
      </c>
      <c r="C3" s="10"/>
    </row>
    <row r="4" spans="2:3" ht="19.5" customHeight="1" x14ac:dyDescent="0.2">
      <c r="B4" s="9" t="s">
        <v>2</v>
      </c>
      <c r="C4" s="9"/>
    </row>
    <row r="5" spans="2:3" ht="4.5" customHeight="1" x14ac:dyDescent="0.2">
      <c r="B5" s="8"/>
      <c r="C5" s="8"/>
    </row>
    <row r="6" spans="2:3" ht="19.5" customHeight="1" x14ac:dyDescent="0.2"/>
    <row r="7" spans="2:3" ht="19.5" customHeight="1" x14ac:dyDescent="0.2">
      <c r="B7" s="15" t="s">
        <v>3</v>
      </c>
      <c r="C7" s="16" t="s">
        <v>4</v>
      </c>
    </row>
    <row r="8" spans="2:3" ht="19.5" customHeight="1" x14ac:dyDescent="0.2">
      <c r="B8" s="15" t="s">
        <v>5</v>
      </c>
      <c r="C8" s="16" t="s">
        <v>6</v>
      </c>
    </row>
    <row r="9" spans="2:3" ht="19.5" customHeight="1" x14ac:dyDescent="0.2">
      <c r="B9" s="15" t="s">
        <v>7</v>
      </c>
      <c r="C9" s="16" t="s">
        <v>8</v>
      </c>
    </row>
    <row r="10" spans="2:3" ht="19.5" customHeight="1" x14ac:dyDescent="0.2">
      <c r="B10" s="15" t="s">
        <v>9</v>
      </c>
      <c r="C10" s="16" t="s">
        <v>10</v>
      </c>
    </row>
    <row r="11" spans="2:3" ht="19.5" customHeight="1" x14ac:dyDescent="0.2">
      <c r="B11" s="15" t="s">
        <v>11</v>
      </c>
      <c r="C11" s="16" t="s">
        <v>12</v>
      </c>
    </row>
    <row r="12" spans="2:3" ht="19.5" customHeight="1" x14ac:dyDescent="0.2">
      <c r="B12" s="15" t="s">
        <v>13</v>
      </c>
      <c r="C12" s="16" t="s">
        <v>14</v>
      </c>
    </row>
    <row r="13" spans="2:3" ht="19.5" customHeight="1" x14ac:dyDescent="0.2">
      <c r="B13" s="15" t="s">
        <v>15</v>
      </c>
      <c r="C13" s="16" t="s">
        <v>16</v>
      </c>
    </row>
    <row r="14" spans="2:3" ht="19.5" customHeight="1" x14ac:dyDescent="0.2"/>
    <row r="15" spans="2:3" ht="19.5" customHeight="1" x14ac:dyDescent="0.2"/>
    <row r="16" spans="2:3" ht="21.75" customHeight="1" x14ac:dyDescent="0.2">
      <c r="B16" s="14" t="s">
        <v>17</v>
      </c>
      <c r="C16" s="14"/>
    </row>
    <row r="17" spans="2:3" ht="19.5" customHeight="1" x14ac:dyDescent="0.2">
      <c r="B17" s="18" t="s">
        <v>18</v>
      </c>
      <c r="C17" s="16" t="s">
        <v>19</v>
      </c>
    </row>
    <row r="18" spans="2:3" ht="19.5" customHeight="1" x14ac:dyDescent="0.2">
      <c r="B18" s="15" t="s">
        <v>20</v>
      </c>
      <c r="C18" s="16" t="s">
        <v>21</v>
      </c>
    </row>
    <row r="19" spans="2:3" ht="19.5" customHeight="1" x14ac:dyDescent="0.2">
      <c r="B19" s="19" t="s">
        <v>22</v>
      </c>
      <c r="C19" s="16" t="s">
        <v>23</v>
      </c>
    </row>
    <row r="20" spans="2:3" ht="19.5" customHeight="1" x14ac:dyDescent="0.2">
      <c r="B20" s="20" t="s">
        <v>24</v>
      </c>
      <c r="C20" s="16" t="s">
        <v>25</v>
      </c>
    </row>
    <row r="21" spans="2:3" ht="19.5" customHeight="1" x14ac:dyDescent="0.2">
      <c r="B21" s="21" t="s">
        <v>26</v>
      </c>
      <c r="C21" s="16" t="s">
        <v>27</v>
      </c>
    </row>
    <row r="22" spans="2:3" ht="19.5" customHeight="1" x14ac:dyDescent="0.2"/>
    <row r="23" spans="2:3" ht="19.5" customHeight="1" x14ac:dyDescent="0.2"/>
    <row r="24" spans="2:3" ht="21.75" customHeight="1" x14ac:dyDescent="0.2">
      <c r="B24" s="14" t="s">
        <v>28</v>
      </c>
      <c r="C24" s="14"/>
    </row>
    <row r="25" spans="2:3" ht="19.5" customHeight="1" x14ac:dyDescent="0.2">
      <c r="B25" s="22" t="s">
        <v>29</v>
      </c>
      <c r="C25" s="16" t="s">
        <v>30</v>
      </c>
    </row>
    <row r="26" spans="2:3" ht="19.5" customHeight="1" x14ac:dyDescent="0.2">
      <c r="B26" s="22" t="s">
        <v>31</v>
      </c>
      <c r="C26" s="16" t="s">
        <v>32</v>
      </c>
    </row>
    <row r="27" spans="2:3" ht="19.5" customHeight="1" x14ac:dyDescent="0.2">
      <c r="B27" s="22" t="s">
        <v>33</v>
      </c>
      <c r="C27" s="16" t="s">
        <v>34</v>
      </c>
    </row>
    <row r="28" spans="2:3" ht="19.5" customHeight="1" x14ac:dyDescent="0.2">
      <c r="B28" s="22" t="s">
        <v>35</v>
      </c>
      <c r="C28" s="16" t="s">
        <v>36</v>
      </c>
    </row>
    <row r="29" spans="2:3" ht="19.5" customHeight="1" x14ac:dyDescent="0.2">
      <c r="B29" s="22" t="s">
        <v>37</v>
      </c>
      <c r="C29" s="16" t="s">
        <v>38</v>
      </c>
    </row>
    <row r="30" spans="2:3" ht="19.5" customHeight="1" x14ac:dyDescent="0.2">
      <c r="B30" s="22" t="s">
        <v>39</v>
      </c>
      <c r="C30" s="16" t="s">
        <v>40</v>
      </c>
    </row>
    <row r="31" spans="2:3" ht="19.5" customHeight="1" x14ac:dyDescent="0.2">
      <c r="B31" s="22" t="s">
        <v>41</v>
      </c>
      <c r="C31" s="16" t="s">
        <v>42</v>
      </c>
    </row>
    <row r="32" spans="2:3" ht="19.5" customHeight="1" x14ac:dyDescent="0.2">
      <c r="B32" s="22" t="s">
        <v>43</v>
      </c>
      <c r="C32" s="16" t="s">
        <v>44</v>
      </c>
    </row>
    <row r="33" spans="2:3" ht="19.5" customHeight="1" x14ac:dyDescent="0.2">
      <c r="B33" s="22" t="s">
        <v>45</v>
      </c>
      <c r="C33" s="16" t="s">
        <v>46</v>
      </c>
    </row>
    <row r="34" spans="2:3" ht="19.5" customHeight="1" x14ac:dyDescent="0.2">
      <c r="B34" s="22" t="s">
        <v>47</v>
      </c>
      <c r="C34" s="16" t="s">
        <v>48</v>
      </c>
    </row>
    <row r="35" spans="2:3" ht="19.5" customHeight="1" x14ac:dyDescent="0.2"/>
    <row r="36" spans="2:3" ht="19.5" customHeight="1" x14ac:dyDescent="0.2"/>
    <row r="37" spans="2:3" ht="49.5" customHeight="1" x14ac:dyDescent="0.2">
      <c r="B37" s="7" t="s">
        <v>49</v>
      </c>
      <c r="C37" s="7"/>
    </row>
    <row r="38" spans="2:3" ht="19.5" customHeight="1" x14ac:dyDescent="0.2"/>
    <row r="39" spans="2:3" ht="19.5" customHeight="1" x14ac:dyDescent="0.2"/>
    <row r="40" spans="2:3" ht="19.5" customHeight="1" x14ac:dyDescent="0.2"/>
    <row r="41" spans="2:3" ht="19.5" customHeight="1" x14ac:dyDescent="0.2"/>
    <row r="42" spans="2:3" ht="19.5" customHeight="1" x14ac:dyDescent="0.2"/>
    <row r="43" spans="2:3" ht="19.5" customHeight="1" x14ac:dyDescent="0.2"/>
    <row r="44" spans="2:3" ht="19.5" customHeight="1" x14ac:dyDescent="0.2"/>
  </sheetData>
  <mergeCells count="7">
    <mergeCell ref="B24:C24"/>
    <mergeCell ref="B37:C37"/>
    <mergeCell ref="B2:C2"/>
    <mergeCell ref="B3:C3"/>
    <mergeCell ref="B4:C4"/>
    <mergeCell ref="B5:C5"/>
    <mergeCell ref="B16:C16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8C00"/>
    <pageSetUpPr fitToPage="1"/>
  </sheetPr>
  <dimension ref="A1:K50"/>
  <sheetViews>
    <sheetView zoomScale="110" zoomScaleNormal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7" sqref="F17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11" width="13" customWidth="1"/>
  </cols>
  <sheetData>
    <row r="1" spans="1:11" ht="27.75" customHeight="1" x14ac:dyDescent="0.2">
      <c r="B1" s="14" t="s">
        <v>50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51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21.75" customHeight="1" x14ac:dyDescent="0.2">
      <c r="B4" s="12" t="s">
        <v>63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26" t="s">
        <v>64</v>
      </c>
      <c r="C5" s="27">
        <v>6200</v>
      </c>
      <c r="D5" s="27">
        <v>6500</v>
      </c>
      <c r="E5" s="27">
        <v>6800</v>
      </c>
      <c r="F5" s="27">
        <v>7300</v>
      </c>
      <c r="G5" s="28">
        <v>7600</v>
      </c>
      <c r="H5" s="27">
        <v>8200</v>
      </c>
      <c r="I5" s="27">
        <v>8700</v>
      </c>
      <c r="J5" s="27">
        <v>9200</v>
      </c>
      <c r="K5" s="27">
        <v>9700</v>
      </c>
    </row>
    <row r="6" spans="1:11" ht="18" customHeight="1" x14ac:dyDescent="0.2">
      <c r="B6" s="29" t="s">
        <v>65</v>
      </c>
      <c r="G6" s="27">
        <v>400</v>
      </c>
      <c r="H6" s="27">
        <v>600</v>
      </c>
      <c r="I6" s="27">
        <v>500</v>
      </c>
      <c r="J6" s="27">
        <v>500</v>
      </c>
      <c r="K6" s="27">
        <v>500</v>
      </c>
    </row>
    <row r="7" spans="1:11" ht="18" customHeight="1" x14ac:dyDescent="0.2">
      <c r="B7" s="26" t="s">
        <v>66</v>
      </c>
      <c r="C7" s="30">
        <v>0.64</v>
      </c>
      <c r="D7" s="30">
        <v>0.65</v>
      </c>
      <c r="E7" s="30">
        <v>0.66</v>
      </c>
      <c r="F7" s="30">
        <v>0.69</v>
      </c>
      <c r="G7" s="31">
        <v>0.68</v>
      </c>
      <c r="H7" s="30">
        <v>0.71</v>
      </c>
      <c r="I7" s="30">
        <v>0.72</v>
      </c>
      <c r="J7" s="30">
        <v>0.73</v>
      </c>
      <c r="K7" s="30">
        <v>0.73</v>
      </c>
    </row>
    <row r="8" spans="1:11" ht="18" customHeight="1" x14ac:dyDescent="0.2">
      <c r="B8" s="26" t="s">
        <v>67</v>
      </c>
      <c r="C8" s="27">
        <v>50000</v>
      </c>
      <c r="D8" s="27">
        <v>52000</v>
      </c>
      <c r="E8" s="27">
        <v>57600</v>
      </c>
      <c r="F8" s="27">
        <v>60500</v>
      </c>
      <c r="G8" s="28">
        <v>67500</v>
      </c>
      <c r="H8" s="27">
        <v>67900</v>
      </c>
      <c r="I8" s="27">
        <v>71900</v>
      </c>
      <c r="J8" s="27">
        <v>75500</v>
      </c>
      <c r="K8" s="27">
        <v>79300</v>
      </c>
    </row>
    <row r="9" spans="1:11" ht="18" customHeight="1" x14ac:dyDescent="0.2">
      <c r="B9" s="29" t="s">
        <v>68</v>
      </c>
      <c r="D9" s="30">
        <v>0.04</v>
      </c>
      <c r="E9" s="30">
        <v>0.108</v>
      </c>
      <c r="F9" s="30">
        <v>5.0999999999999997E-2</v>
      </c>
      <c r="G9" s="30">
        <v>0.06</v>
      </c>
      <c r="H9" s="30">
        <v>0.06</v>
      </c>
      <c r="I9" s="30">
        <v>5.8000000000000003E-2</v>
      </c>
      <c r="J9" s="30">
        <v>0.05</v>
      </c>
      <c r="K9" s="30">
        <v>0.05</v>
      </c>
    </row>
    <row r="10" spans="1:11" ht="18" customHeight="1" x14ac:dyDescent="0.2">
      <c r="B10" s="32" t="s">
        <v>69</v>
      </c>
      <c r="C10" s="33">
        <f t="shared" ref="C10:K10" si="0">ROUND(C5*C7*C8*365/1000000,0)</f>
        <v>72416</v>
      </c>
      <c r="D10" s="33">
        <f t="shared" si="0"/>
        <v>80191</v>
      </c>
      <c r="E10" s="33">
        <f t="shared" si="0"/>
        <v>94356</v>
      </c>
      <c r="F10" s="33">
        <f t="shared" si="0"/>
        <v>111230</v>
      </c>
      <c r="G10" s="33">
        <f t="shared" si="0"/>
        <v>127327</v>
      </c>
      <c r="H10" s="33">
        <f t="shared" si="0"/>
        <v>144290</v>
      </c>
      <c r="I10" s="33">
        <f t="shared" si="0"/>
        <v>164389</v>
      </c>
      <c r="J10" s="33">
        <f t="shared" si="0"/>
        <v>185076</v>
      </c>
      <c r="K10" s="33">
        <f t="shared" si="0"/>
        <v>204956</v>
      </c>
    </row>
    <row r="11" spans="1:11" ht="18" customHeight="1" x14ac:dyDescent="0.2">
      <c r="B11" s="34" t="s">
        <v>70</v>
      </c>
      <c r="D11" s="30">
        <v>8.7999999999999995E-2</v>
      </c>
      <c r="E11" s="30">
        <v>0.13500000000000001</v>
      </c>
      <c r="F11" s="30">
        <v>0.13</v>
      </c>
      <c r="G11" s="30">
        <v>0.13500000000000001</v>
      </c>
      <c r="H11" s="30">
        <v>0.14499999999999999</v>
      </c>
      <c r="I11" s="30">
        <v>0.13</v>
      </c>
      <c r="J11" s="30">
        <v>0.12</v>
      </c>
      <c r="K11" s="30">
        <v>0.11</v>
      </c>
    </row>
    <row r="12" spans="1:11" ht="21.75" customHeight="1" x14ac:dyDescent="0.2">
      <c r="B12" s="12" t="s">
        <v>71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18" customHeight="1" x14ac:dyDescent="0.2">
      <c r="B13" s="26" t="s">
        <v>72</v>
      </c>
      <c r="C13" s="27">
        <v>53626</v>
      </c>
      <c r="D13" s="27">
        <v>67124</v>
      </c>
      <c r="E13" s="27">
        <v>78269</v>
      </c>
      <c r="F13" s="27">
        <v>90930</v>
      </c>
      <c r="G13" s="28">
        <v>108081</v>
      </c>
      <c r="H13" s="27">
        <v>125600</v>
      </c>
      <c r="I13" s="27">
        <v>144400</v>
      </c>
      <c r="J13" s="27">
        <v>164600</v>
      </c>
      <c r="K13" s="27">
        <v>184400</v>
      </c>
    </row>
    <row r="14" spans="1:11" ht="18" customHeight="1" x14ac:dyDescent="0.2">
      <c r="B14" s="29" t="s">
        <v>73</v>
      </c>
      <c r="D14" s="30">
        <v>0.253</v>
      </c>
      <c r="E14" s="30">
        <v>0.16600000000000001</v>
      </c>
      <c r="F14" s="30">
        <v>0.16200000000000001</v>
      </c>
      <c r="G14" s="30">
        <v>0.18</v>
      </c>
      <c r="H14" s="30">
        <v>0.17</v>
      </c>
      <c r="I14" s="30">
        <v>0.15</v>
      </c>
      <c r="J14" s="30">
        <v>0.14000000000000001</v>
      </c>
      <c r="K14" s="30">
        <v>0.12</v>
      </c>
    </row>
    <row r="15" spans="1:11" ht="18" customHeight="1" x14ac:dyDescent="0.2">
      <c r="B15" s="26" t="s">
        <v>74</v>
      </c>
      <c r="C15" s="27">
        <v>13000</v>
      </c>
      <c r="D15" s="27">
        <v>12000</v>
      </c>
      <c r="E15" s="27">
        <v>13653</v>
      </c>
      <c r="F15" s="27">
        <v>15535</v>
      </c>
      <c r="G15" s="28">
        <v>16703</v>
      </c>
      <c r="H15" s="27">
        <v>19660</v>
      </c>
      <c r="I15" s="27">
        <v>21820</v>
      </c>
      <c r="J15" s="27">
        <v>24000</v>
      </c>
      <c r="K15" s="27">
        <v>26400</v>
      </c>
    </row>
    <row r="16" spans="1:11" ht="18" customHeight="1" x14ac:dyDescent="0.2">
      <c r="B16" s="29" t="s">
        <v>75</v>
      </c>
      <c r="D16" s="30">
        <v>-7.6999999999999999E-2</v>
      </c>
      <c r="E16" s="30">
        <v>0.13800000000000001</v>
      </c>
      <c r="F16" s="30">
        <v>0.13800000000000001</v>
      </c>
      <c r="G16" s="30">
        <v>0.13</v>
      </c>
      <c r="H16" s="30">
        <v>0.12</v>
      </c>
      <c r="I16" s="30">
        <v>0.11</v>
      </c>
      <c r="J16" s="30">
        <v>0.1</v>
      </c>
      <c r="K16" s="30">
        <v>0.1</v>
      </c>
    </row>
    <row r="17" spans="2:11" ht="18" customHeight="1" x14ac:dyDescent="0.2">
      <c r="B17" s="32" t="s">
        <v>76</v>
      </c>
      <c r="C17" s="33">
        <f t="shared" ref="C17:K17" si="1">C10+C13+C15</f>
        <v>139042</v>
      </c>
      <c r="D17" s="33">
        <f t="shared" si="1"/>
        <v>159315</v>
      </c>
      <c r="E17" s="33">
        <f t="shared" si="1"/>
        <v>186278</v>
      </c>
      <c r="F17" s="33">
        <f t="shared" si="1"/>
        <v>217695</v>
      </c>
      <c r="G17" s="33">
        <f t="shared" si="1"/>
        <v>252111</v>
      </c>
      <c r="H17" s="33">
        <f t="shared" si="1"/>
        <v>289550</v>
      </c>
      <c r="I17" s="33">
        <f t="shared" si="1"/>
        <v>330609</v>
      </c>
      <c r="J17" s="33">
        <f t="shared" si="1"/>
        <v>373676</v>
      </c>
      <c r="K17" s="33">
        <f t="shared" si="1"/>
        <v>415756</v>
      </c>
    </row>
    <row r="18" spans="2:11" ht="21.75" customHeight="1" x14ac:dyDescent="0.2">
      <c r="B18" s="12" t="s">
        <v>77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2:11" ht="18" customHeight="1" x14ac:dyDescent="0.2">
      <c r="B19" s="35" t="s">
        <v>78</v>
      </c>
      <c r="C19" s="36">
        <v>0.23100000000000001</v>
      </c>
      <c r="D19" s="36">
        <v>0.22800000000000001</v>
      </c>
      <c r="E19" s="36">
        <v>0.23400000000000001</v>
      </c>
      <c r="F19" s="36">
        <v>0.24099999999999999</v>
      </c>
      <c r="G19" s="37">
        <f>1-(G24+G25+G26+G27)</f>
        <v>0.2320000000000001</v>
      </c>
      <c r="H19" s="36">
        <f>1-(H24+H25+H26+H27)</f>
        <v>0.24500000000000011</v>
      </c>
      <c r="I19" s="36">
        <f>1-(I24+I25+I26+I27)</f>
        <v>0.24500000000000011</v>
      </c>
      <c r="J19" s="36">
        <f>1-(J24+J25+J26+J27)</f>
        <v>0.24500000000000011</v>
      </c>
      <c r="K19" s="36">
        <f>1-(K24+K25+K26+K27)</f>
        <v>0.24500000000000011</v>
      </c>
    </row>
    <row r="20" spans="2:11" ht="18" customHeight="1" x14ac:dyDescent="0.2">
      <c r="B20" s="26" t="s">
        <v>79</v>
      </c>
      <c r="C20" s="30">
        <v>5.0000000000000001E-3</v>
      </c>
      <c r="D20" s="30">
        <v>8.0000000000000002E-3</v>
      </c>
      <c r="E20" s="30">
        <v>0.01</v>
      </c>
      <c r="F20" s="30">
        <v>1.4E-2</v>
      </c>
      <c r="G20" s="31">
        <v>8.7999999999999995E-2</v>
      </c>
      <c r="H20" s="30">
        <v>2.8000000000000001E-2</v>
      </c>
      <c r="I20" s="30">
        <v>3.7999999999999999E-2</v>
      </c>
      <c r="J20" s="30">
        <v>4.4999999999999998E-2</v>
      </c>
      <c r="K20" s="30">
        <v>0.05</v>
      </c>
    </row>
    <row r="21" spans="2:11" ht="18" customHeight="1" x14ac:dyDescent="0.2">
      <c r="B21" s="26" t="s">
        <v>80</v>
      </c>
      <c r="C21" s="30">
        <v>8.6999999999999994E-2</v>
      </c>
      <c r="D21" s="30">
        <v>9.2999999999999999E-2</v>
      </c>
      <c r="E21" s="30">
        <v>9.6000000000000002E-2</v>
      </c>
      <c r="F21" s="30">
        <v>0.107</v>
      </c>
      <c r="G21" s="31">
        <v>0.13500000000000001</v>
      </c>
      <c r="H21" s="30">
        <v>0.125</v>
      </c>
      <c r="I21" s="30">
        <v>0.13</v>
      </c>
      <c r="J21" s="30">
        <v>0.13500000000000001</v>
      </c>
      <c r="K21" s="30">
        <v>0.14000000000000001</v>
      </c>
    </row>
    <row r="22" spans="2:11" ht="18" customHeight="1" x14ac:dyDescent="0.2">
      <c r="B22" s="34" t="s">
        <v>81</v>
      </c>
      <c r="C22" s="30">
        <v>0.14899999999999999</v>
      </c>
      <c r="D22" s="30">
        <v>0.123</v>
      </c>
      <c r="E22" s="30">
        <v>0.125</v>
      </c>
      <c r="F22" s="30">
        <v>0.13900000000000001</v>
      </c>
      <c r="G22" s="30">
        <v>0.14099999999999999</v>
      </c>
      <c r="H22" s="30">
        <v>0.14299999999999999</v>
      </c>
      <c r="I22" s="30">
        <v>0.14499999999999999</v>
      </c>
      <c r="J22" s="30">
        <v>0.14699999999999999</v>
      </c>
      <c r="K22" s="30">
        <v>0.14799999999999999</v>
      </c>
    </row>
    <row r="23" spans="2:11" ht="21.75" customHeight="1" x14ac:dyDescent="0.2">
      <c r="B23" s="12" t="s">
        <v>82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2:11" ht="18" customHeight="1" x14ac:dyDescent="0.2">
      <c r="B24" s="26" t="s">
        <v>83</v>
      </c>
      <c r="C24" s="30">
        <v>0.23</v>
      </c>
      <c r="D24" s="30">
        <v>0.23499999999999999</v>
      </c>
      <c r="E24" s="30">
        <v>0.23200000000000001</v>
      </c>
      <c r="F24" s="30">
        <v>0.22800000000000001</v>
      </c>
      <c r="G24" s="31">
        <v>0.22500000000000001</v>
      </c>
      <c r="H24" s="30">
        <v>0.22600000000000001</v>
      </c>
      <c r="I24" s="30">
        <v>0.22500000000000001</v>
      </c>
      <c r="J24" s="30">
        <v>0.224</v>
      </c>
      <c r="K24" s="30">
        <v>0.224</v>
      </c>
    </row>
    <row r="25" spans="2:11" ht="18" customHeight="1" x14ac:dyDescent="0.2">
      <c r="B25" s="26" t="s">
        <v>84</v>
      </c>
      <c r="C25" s="30">
        <v>0.255</v>
      </c>
      <c r="D25" s="30">
        <v>0.26200000000000001</v>
      </c>
      <c r="E25" s="30">
        <v>0.26500000000000001</v>
      </c>
      <c r="F25" s="30">
        <v>0.26800000000000002</v>
      </c>
      <c r="G25" s="31">
        <v>0.26200000000000001</v>
      </c>
      <c r="H25" s="30">
        <v>0.26600000000000001</v>
      </c>
      <c r="I25" s="30">
        <v>0.26400000000000001</v>
      </c>
      <c r="J25" s="30">
        <v>0.26300000000000001</v>
      </c>
      <c r="K25" s="30">
        <v>0.26200000000000001</v>
      </c>
    </row>
    <row r="26" spans="2:11" ht="18" customHeight="1" x14ac:dyDescent="0.2">
      <c r="B26" s="26" t="s">
        <v>85</v>
      </c>
      <c r="C26" s="30">
        <v>6.5000000000000002E-2</v>
      </c>
      <c r="D26" s="30">
        <v>6.8000000000000005E-2</v>
      </c>
      <c r="E26" s="30">
        <v>7.0000000000000007E-2</v>
      </c>
      <c r="F26" s="30">
        <v>7.1999999999999995E-2</v>
      </c>
      <c r="G26" s="31">
        <v>7.4999999999999997E-2</v>
      </c>
      <c r="H26" s="30">
        <v>7.2999999999999995E-2</v>
      </c>
      <c r="I26" s="30">
        <v>7.3999999999999996E-2</v>
      </c>
      <c r="J26" s="30">
        <v>7.4999999999999997E-2</v>
      </c>
      <c r="K26" s="30">
        <v>7.4999999999999997E-2</v>
      </c>
    </row>
    <row r="27" spans="2:11" ht="18" customHeight="1" x14ac:dyDescent="0.2">
      <c r="B27" s="26" t="s">
        <v>86</v>
      </c>
      <c r="C27" s="30">
        <v>0.22</v>
      </c>
      <c r="D27" s="30">
        <v>0.20699999999999999</v>
      </c>
      <c r="E27" s="30">
        <v>0.19900000000000001</v>
      </c>
      <c r="F27" s="30">
        <v>0.191</v>
      </c>
      <c r="G27" s="31">
        <v>0.20599999999999999</v>
      </c>
      <c r="H27" s="30">
        <v>0.19</v>
      </c>
      <c r="I27" s="30">
        <v>0.192</v>
      </c>
      <c r="J27" s="30">
        <v>0.193</v>
      </c>
      <c r="K27" s="30">
        <v>0.19400000000000001</v>
      </c>
    </row>
    <row r="28" spans="2:11" ht="21.75" customHeight="1" x14ac:dyDescent="0.2">
      <c r="B28" s="12" t="s">
        <v>87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2:11" ht="18" customHeight="1" x14ac:dyDescent="0.2">
      <c r="B29" s="26" t="s">
        <v>88</v>
      </c>
      <c r="C29" s="27">
        <v>6007</v>
      </c>
      <c r="D29" s="27">
        <v>6152</v>
      </c>
      <c r="E29" s="27">
        <v>6870</v>
      </c>
      <c r="F29" s="27">
        <v>7575</v>
      </c>
      <c r="G29" s="28">
        <v>8761</v>
      </c>
      <c r="H29" s="27">
        <v>8900</v>
      </c>
      <c r="I29" s="27">
        <v>9500</v>
      </c>
      <c r="J29" s="27">
        <v>10000</v>
      </c>
      <c r="K29" s="27">
        <v>10500</v>
      </c>
    </row>
    <row r="30" spans="2:11" ht="18" customHeight="1" x14ac:dyDescent="0.2">
      <c r="B30" s="26" t="s">
        <v>89</v>
      </c>
      <c r="C30" s="27">
        <v>3786</v>
      </c>
      <c r="D30" s="27">
        <v>3808</v>
      </c>
      <c r="E30" s="27">
        <v>4494</v>
      </c>
      <c r="F30" s="27">
        <v>4585</v>
      </c>
      <c r="G30" s="28">
        <v>4496</v>
      </c>
      <c r="H30" s="27">
        <v>4200</v>
      </c>
      <c r="I30" s="27">
        <v>4000</v>
      </c>
      <c r="J30" s="27">
        <v>3800</v>
      </c>
      <c r="K30" s="27">
        <v>3600</v>
      </c>
    </row>
    <row r="31" spans="2:11" ht="18" customHeight="1" x14ac:dyDescent="0.2">
      <c r="B31" s="26" t="s">
        <v>90</v>
      </c>
      <c r="C31" s="27">
        <v>781</v>
      </c>
      <c r="D31" s="27">
        <v>903</v>
      </c>
      <c r="E31" s="27">
        <v>1063</v>
      </c>
      <c r="F31" s="27">
        <v>2003</v>
      </c>
      <c r="G31" s="28">
        <v>2676</v>
      </c>
      <c r="H31" s="27">
        <v>1600</v>
      </c>
      <c r="I31" s="27">
        <v>1700</v>
      </c>
      <c r="J31" s="27">
        <v>1800</v>
      </c>
      <c r="K31" s="27">
        <v>1900</v>
      </c>
    </row>
    <row r="32" spans="2:11" ht="18" customHeight="1" x14ac:dyDescent="0.2">
      <c r="B32" s="26" t="s">
        <v>91</v>
      </c>
      <c r="C32" s="30">
        <v>0.30199999999999999</v>
      </c>
      <c r="D32" s="30">
        <v>0.224</v>
      </c>
      <c r="E32" s="30">
        <v>0.32700000000000001</v>
      </c>
      <c r="F32" s="30">
        <v>0.26600000000000001</v>
      </c>
      <c r="G32" s="31">
        <v>0.247</v>
      </c>
      <c r="H32" s="30">
        <v>0.27</v>
      </c>
      <c r="I32" s="30">
        <v>0.27</v>
      </c>
      <c r="J32" s="30">
        <v>0.27</v>
      </c>
      <c r="K32" s="30">
        <v>0.27</v>
      </c>
    </row>
    <row r="33" spans="2:11" ht="18" customHeight="1" x14ac:dyDescent="0.2">
      <c r="B33" s="26" t="s">
        <v>92</v>
      </c>
      <c r="C33" s="27">
        <v>454</v>
      </c>
      <c r="D33" s="27">
        <v>687</v>
      </c>
      <c r="E33" s="27">
        <v>184</v>
      </c>
      <c r="F33" s="27">
        <v>262</v>
      </c>
      <c r="G33" s="28">
        <v>608</v>
      </c>
      <c r="H33" s="27">
        <v>300</v>
      </c>
      <c r="I33" s="27">
        <v>320</v>
      </c>
      <c r="J33" s="27">
        <v>340</v>
      </c>
      <c r="K33" s="27">
        <v>360</v>
      </c>
    </row>
    <row r="34" spans="2:11" ht="21.75" customHeight="1" x14ac:dyDescent="0.2">
      <c r="B34" s="12" t="s">
        <v>93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2:11" ht="18" customHeight="1" x14ac:dyDescent="0.2">
      <c r="B35" s="26" t="s">
        <v>94</v>
      </c>
      <c r="C35" s="27">
        <v>6518</v>
      </c>
      <c r="D35" s="27">
        <v>11285</v>
      </c>
      <c r="E35" s="27">
        <v>11349</v>
      </c>
      <c r="F35" s="27">
        <v>16978</v>
      </c>
      <c r="G35" s="28">
        <v>19620</v>
      </c>
      <c r="H35" s="27">
        <v>15000</v>
      </c>
      <c r="I35" s="27">
        <v>12000</v>
      </c>
      <c r="J35" s="27">
        <v>10000</v>
      </c>
      <c r="K35" s="27">
        <v>10000</v>
      </c>
    </row>
    <row r="36" spans="2:11" ht="18" customHeight="1" x14ac:dyDescent="0.2">
      <c r="B36" s="26" t="s">
        <v>95</v>
      </c>
      <c r="C36" s="38">
        <v>44</v>
      </c>
      <c r="D36" s="38">
        <v>49</v>
      </c>
      <c r="E36" s="38">
        <v>48</v>
      </c>
      <c r="F36" s="38">
        <v>51</v>
      </c>
      <c r="G36" s="28">
        <v>50</v>
      </c>
      <c r="H36" s="38">
        <v>51</v>
      </c>
      <c r="I36" s="38">
        <v>50</v>
      </c>
      <c r="J36" s="38">
        <v>50</v>
      </c>
      <c r="K36" s="38">
        <v>50</v>
      </c>
    </row>
    <row r="37" spans="2:11" ht="18" customHeight="1" x14ac:dyDescent="0.2">
      <c r="B37" s="26" t="s">
        <v>96</v>
      </c>
      <c r="C37" s="38">
        <v>11</v>
      </c>
      <c r="D37" s="38">
        <v>9</v>
      </c>
      <c r="E37" s="38">
        <v>9</v>
      </c>
      <c r="F37" s="38">
        <v>8</v>
      </c>
      <c r="G37" s="28">
        <v>8</v>
      </c>
      <c r="H37" s="38">
        <v>8</v>
      </c>
      <c r="I37" s="38">
        <v>8</v>
      </c>
      <c r="J37" s="38">
        <v>8</v>
      </c>
      <c r="K37" s="38">
        <v>8</v>
      </c>
    </row>
    <row r="38" spans="2:11" ht="18" customHeight="1" x14ac:dyDescent="0.2">
      <c r="B38" s="26" t="s">
        <v>97</v>
      </c>
      <c r="C38" s="38">
        <v>41</v>
      </c>
      <c r="D38" s="38">
        <v>42</v>
      </c>
      <c r="E38" s="38">
        <v>45</v>
      </c>
      <c r="F38" s="38">
        <v>38</v>
      </c>
      <c r="G38" s="28">
        <v>37</v>
      </c>
      <c r="H38" s="38">
        <v>40</v>
      </c>
      <c r="I38" s="38">
        <v>40</v>
      </c>
      <c r="J38" s="38">
        <v>40</v>
      </c>
      <c r="K38" s="38">
        <v>40</v>
      </c>
    </row>
    <row r="39" spans="2:11" ht="21.75" customHeight="1" x14ac:dyDescent="0.2">
      <c r="B39" s="12" t="s">
        <v>98</v>
      </c>
      <c r="C39" s="12"/>
      <c r="D39" s="12"/>
      <c r="E39" s="12"/>
      <c r="F39" s="12"/>
      <c r="G39" s="12"/>
      <c r="H39" s="12"/>
      <c r="I39" s="12"/>
      <c r="J39" s="12"/>
      <c r="K39" s="12"/>
    </row>
    <row r="40" spans="2:11" ht="18" customHeight="1" x14ac:dyDescent="0.2">
      <c r="B40" s="26" t="s">
        <v>99</v>
      </c>
      <c r="C40" s="39">
        <v>28</v>
      </c>
    </row>
    <row r="41" spans="2:11" ht="18" customHeight="1" x14ac:dyDescent="0.2">
      <c r="B41" s="26" t="s">
        <v>100</v>
      </c>
      <c r="C41" s="39">
        <v>32</v>
      </c>
    </row>
    <row r="42" spans="2:11" ht="18" customHeight="1" x14ac:dyDescent="0.2">
      <c r="B42" s="26" t="s">
        <v>101</v>
      </c>
      <c r="C42" s="39">
        <v>55</v>
      </c>
    </row>
    <row r="43" spans="2:11" ht="18" customHeight="1" x14ac:dyDescent="0.2">
      <c r="B43" s="26" t="s">
        <v>102</v>
      </c>
      <c r="C43" s="39">
        <v>65</v>
      </c>
    </row>
    <row r="44" spans="2:11" ht="18" customHeight="1" x14ac:dyDescent="0.2">
      <c r="B44" s="26" t="s">
        <v>103</v>
      </c>
      <c r="C44" s="39">
        <v>2</v>
      </c>
    </row>
    <row r="45" spans="2:11" ht="18" customHeight="1" x14ac:dyDescent="0.2">
      <c r="B45" s="26" t="s">
        <v>104</v>
      </c>
      <c r="C45" s="39">
        <v>20</v>
      </c>
    </row>
    <row r="46" spans="2:11" ht="18" customHeight="1" x14ac:dyDescent="0.2">
      <c r="B46" s="26" t="s">
        <v>105</v>
      </c>
      <c r="C46" s="39">
        <v>15</v>
      </c>
    </row>
    <row r="47" spans="2:11" ht="18" customHeight="1" x14ac:dyDescent="0.2">
      <c r="B47" s="26" t="s">
        <v>106</v>
      </c>
      <c r="C47" s="27">
        <v>39150</v>
      </c>
    </row>
    <row r="48" spans="2:11" ht="18" customHeight="1" x14ac:dyDescent="0.2">
      <c r="B48" s="26" t="s">
        <v>107</v>
      </c>
      <c r="C48" s="27">
        <v>4406</v>
      </c>
    </row>
    <row r="49" spans="2:3" ht="18" customHeight="1" x14ac:dyDescent="0.2">
      <c r="B49" s="26" t="s">
        <v>108</v>
      </c>
      <c r="C49" s="38">
        <v>143.80000000000001</v>
      </c>
    </row>
    <row r="50" spans="2:3" ht="18" customHeight="1" x14ac:dyDescent="0.2">
      <c r="B50" s="26" t="s">
        <v>109</v>
      </c>
      <c r="C50" s="30">
        <v>7.0000000000000007E-2</v>
      </c>
    </row>
  </sheetData>
  <mergeCells count="9">
    <mergeCell ref="B23:K23"/>
    <mergeCell ref="B28:K28"/>
    <mergeCell ref="B34:K34"/>
    <mergeCell ref="B39:K39"/>
    <mergeCell ref="B1:K1"/>
    <mergeCell ref="B2:K2"/>
    <mergeCell ref="B4:K4"/>
    <mergeCell ref="B12:K12"/>
    <mergeCell ref="B18:K18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K24"/>
  <sheetViews>
    <sheetView zoomScale="140" zoomScaleNormal="14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F22" sqref="F22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11" width="13" customWidth="1"/>
  </cols>
  <sheetData>
    <row r="1" spans="1:11" ht="27.75" customHeight="1" x14ac:dyDescent="0.2">
      <c r="B1" s="14" t="s">
        <v>110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111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112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26" t="s">
        <v>113</v>
      </c>
      <c r="C5" s="40">
        <f>Assumptions!C5</f>
        <v>6200</v>
      </c>
      <c r="D5" s="40">
        <f>Assumptions!D5</f>
        <v>6500</v>
      </c>
      <c r="E5" s="40">
        <f>Assumptions!E5</f>
        <v>6800</v>
      </c>
      <c r="F5" s="40">
        <f>Assumptions!F5</f>
        <v>7300</v>
      </c>
      <c r="G5" s="28">
        <v>7600</v>
      </c>
      <c r="H5" s="40">
        <f>Assumptions!H5</f>
        <v>8200</v>
      </c>
      <c r="I5" s="40">
        <f>Assumptions!I5</f>
        <v>8700</v>
      </c>
      <c r="J5" s="40">
        <f>Assumptions!J5</f>
        <v>9200</v>
      </c>
      <c r="K5" s="40">
        <f>Assumptions!K5</f>
        <v>9700</v>
      </c>
    </row>
    <row r="6" spans="1:11" ht="18" customHeight="1" x14ac:dyDescent="0.2">
      <c r="B6" s="26" t="s">
        <v>66</v>
      </c>
      <c r="C6" s="41">
        <f>Assumptions!C7</f>
        <v>0.64</v>
      </c>
      <c r="D6" s="41">
        <f>Assumptions!D7</f>
        <v>0.65</v>
      </c>
      <c r="E6" s="41">
        <f>Assumptions!E7</f>
        <v>0.66</v>
      </c>
      <c r="F6" s="41">
        <f>Assumptions!F7</f>
        <v>0.69</v>
      </c>
      <c r="G6" s="31">
        <v>0.68</v>
      </c>
      <c r="H6" s="41">
        <f>Assumptions!H7</f>
        <v>0.71</v>
      </c>
      <c r="I6" s="41">
        <f>Assumptions!I7</f>
        <v>0.72</v>
      </c>
      <c r="J6" s="41">
        <f>Assumptions!J7</f>
        <v>0.73</v>
      </c>
      <c r="K6" s="41">
        <f>Assumptions!K7</f>
        <v>0.73</v>
      </c>
    </row>
    <row r="7" spans="1:11" ht="18" customHeight="1" x14ac:dyDescent="0.2">
      <c r="B7" s="26" t="s">
        <v>67</v>
      </c>
      <c r="C7" s="40">
        <f>Assumptions!C8</f>
        <v>50000</v>
      </c>
      <c r="D7" s="40">
        <f>Assumptions!D8</f>
        <v>52000</v>
      </c>
      <c r="E7" s="40">
        <f>Assumptions!E8</f>
        <v>57600</v>
      </c>
      <c r="F7" s="40">
        <f>Assumptions!F8</f>
        <v>60500</v>
      </c>
      <c r="G7" s="28">
        <v>67500</v>
      </c>
      <c r="H7" s="40">
        <f>Assumptions!H8</f>
        <v>67900</v>
      </c>
      <c r="I7" s="40">
        <f>Assumptions!I8</f>
        <v>71900</v>
      </c>
      <c r="J7" s="40">
        <f>Assumptions!J8</f>
        <v>75500</v>
      </c>
      <c r="K7" s="40">
        <f>Assumptions!K8</f>
        <v>79300</v>
      </c>
    </row>
    <row r="8" spans="1:11" ht="18" customHeight="1" x14ac:dyDescent="0.2">
      <c r="B8" s="26" t="s">
        <v>114</v>
      </c>
      <c r="C8" s="42">
        <f t="shared" ref="C8:K8" si="0">ROUND(C5*C6*365/1000000,2)</f>
        <v>1.45</v>
      </c>
      <c r="D8" s="42">
        <f t="shared" si="0"/>
        <v>1.54</v>
      </c>
      <c r="E8" s="42">
        <f t="shared" si="0"/>
        <v>1.64</v>
      </c>
      <c r="F8" s="42">
        <f t="shared" si="0"/>
        <v>1.84</v>
      </c>
      <c r="G8" s="42">
        <f t="shared" si="0"/>
        <v>1.89</v>
      </c>
      <c r="H8" s="42">
        <f t="shared" si="0"/>
        <v>2.13</v>
      </c>
      <c r="I8" s="42">
        <f t="shared" si="0"/>
        <v>2.29</v>
      </c>
      <c r="J8" s="42">
        <f t="shared" si="0"/>
        <v>2.4500000000000002</v>
      </c>
      <c r="K8" s="42">
        <f t="shared" si="0"/>
        <v>2.58</v>
      </c>
    </row>
    <row r="9" spans="1:11" ht="19.5" customHeight="1" x14ac:dyDescent="0.2">
      <c r="B9" s="12" t="s">
        <v>115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ht="18" customHeight="1" x14ac:dyDescent="0.2">
      <c r="B10" s="26" t="s">
        <v>116</v>
      </c>
      <c r="C10" s="30">
        <v>0.7</v>
      </c>
      <c r="D10" s="30">
        <v>0.7</v>
      </c>
      <c r="E10" s="30">
        <v>0.7</v>
      </c>
      <c r="F10" s="30">
        <v>0.7</v>
      </c>
      <c r="G10" s="30">
        <v>0.7</v>
      </c>
      <c r="H10" s="30">
        <v>0.7</v>
      </c>
      <c r="I10" s="30">
        <v>0.7</v>
      </c>
      <c r="J10" s="30">
        <v>0.7</v>
      </c>
      <c r="K10" s="30">
        <v>0.7</v>
      </c>
    </row>
    <row r="11" spans="1:11" ht="18" customHeight="1" x14ac:dyDescent="0.2">
      <c r="B11" s="32" t="s">
        <v>117</v>
      </c>
      <c r="C11" s="33">
        <f t="shared" ref="C11:K11" si="1">ROUND(C5*C6*C7*365/1000000,0)</f>
        <v>72416</v>
      </c>
      <c r="D11" s="33">
        <f t="shared" si="1"/>
        <v>80191</v>
      </c>
      <c r="E11" s="33">
        <f t="shared" si="1"/>
        <v>94356</v>
      </c>
      <c r="F11" s="33">
        <f t="shared" si="1"/>
        <v>111230</v>
      </c>
      <c r="G11" s="33">
        <f t="shared" si="1"/>
        <v>127327</v>
      </c>
      <c r="H11" s="33">
        <f t="shared" si="1"/>
        <v>144290</v>
      </c>
      <c r="I11" s="33">
        <f t="shared" si="1"/>
        <v>164389</v>
      </c>
      <c r="J11" s="33">
        <f t="shared" si="1"/>
        <v>185076</v>
      </c>
      <c r="K11" s="33">
        <f t="shared" si="1"/>
        <v>204956</v>
      </c>
    </row>
    <row r="12" spans="1:11" ht="19.5" customHeight="1" x14ac:dyDescent="0.2">
      <c r="B12" s="32" t="s">
        <v>118</v>
      </c>
      <c r="C12" s="27">
        <v>80000</v>
      </c>
      <c r="D12" s="27">
        <v>86800</v>
      </c>
      <c r="E12" s="27">
        <v>98636</v>
      </c>
      <c r="F12" s="27">
        <v>111475</v>
      </c>
      <c r="G12" s="43">
        <f>ROUND(G5*G6*G7*365/1000000,0)</f>
        <v>127327</v>
      </c>
      <c r="H12" s="40">
        <f>Assumptions!H10</f>
        <v>144290</v>
      </c>
      <c r="I12" s="40">
        <f>Assumptions!I10</f>
        <v>164389</v>
      </c>
      <c r="J12" s="40">
        <f>Assumptions!J10</f>
        <v>185076</v>
      </c>
      <c r="K12" s="40">
        <f>Assumptions!K10</f>
        <v>204956</v>
      </c>
    </row>
    <row r="13" spans="1:11" ht="18" customHeight="1" x14ac:dyDescent="0.2">
      <c r="B13" s="34" t="s">
        <v>119</v>
      </c>
      <c r="D13" s="44">
        <f t="shared" ref="D13:K13" si="2">IF(C12=0,"",D12/C12-1)</f>
        <v>8.4999999999999964E-2</v>
      </c>
      <c r="E13" s="44">
        <f t="shared" si="2"/>
        <v>0.13635944700460834</v>
      </c>
      <c r="F13" s="44">
        <f t="shared" si="2"/>
        <v>0.1301654568311772</v>
      </c>
      <c r="G13" s="45">
        <f t="shared" si="2"/>
        <v>0.14220228750840991</v>
      </c>
      <c r="H13" s="44">
        <f t="shared" si="2"/>
        <v>0.13322390380673377</v>
      </c>
      <c r="I13" s="44">
        <f t="shared" si="2"/>
        <v>0.13929586249913362</v>
      </c>
      <c r="J13" s="44">
        <f t="shared" si="2"/>
        <v>0.12584175340199155</v>
      </c>
      <c r="K13" s="44">
        <f t="shared" si="2"/>
        <v>0.10741533207979415</v>
      </c>
    </row>
    <row r="14" spans="1:11" ht="19.5" customHeight="1" x14ac:dyDescent="0.2">
      <c r="B14" s="12" t="s">
        <v>120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18" customHeight="1" x14ac:dyDescent="0.2">
      <c r="B15" s="34" t="s">
        <v>121</v>
      </c>
      <c r="D15" s="44">
        <f t="shared" ref="D15:K15" si="3">IF(C7=0,"",D7/C7-1)</f>
        <v>4.0000000000000036E-2</v>
      </c>
      <c r="E15" s="44">
        <f t="shared" si="3"/>
        <v>0.10769230769230775</v>
      </c>
      <c r="F15" s="44">
        <f t="shared" si="3"/>
        <v>5.0347222222222321E-2</v>
      </c>
      <c r="G15" s="44">
        <f t="shared" si="3"/>
        <v>0.11570247933884303</v>
      </c>
      <c r="H15" s="44">
        <f t="shared" si="3"/>
        <v>5.9259259259258901E-3</v>
      </c>
      <c r="I15" s="44">
        <f t="shared" si="3"/>
        <v>5.8910162002945521E-2</v>
      </c>
      <c r="J15" s="44">
        <f t="shared" si="3"/>
        <v>5.0069541029207132E-2</v>
      </c>
      <c r="K15" s="44">
        <f t="shared" si="3"/>
        <v>5.0331125827814516E-2</v>
      </c>
    </row>
    <row r="16" spans="1:11" ht="18" customHeight="1" x14ac:dyDescent="0.2">
      <c r="B16" s="34" t="s">
        <v>122</v>
      </c>
      <c r="C16" s="33">
        <f t="shared" ref="C16:K16" si="4">ROUND(C8*C7*1000000/1000000,0)</f>
        <v>72500</v>
      </c>
      <c r="D16" s="33">
        <f t="shared" si="4"/>
        <v>80080</v>
      </c>
      <c r="E16" s="33">
        <f t="shared" si="4"/>
        <v>94464</v>
      </c>
      <c r="F16" s="33">
        <f t="shared" si="4"/>
        <v>111320</v>
      </c>
      <c r="G16" s="33">
        <f t="shared" si="4"/>
        <v>127575</v>
      </c>
      <c r="H16" s="33">
        <f t="shared" si="4"/>
        <v>144627</v>
      </c>
      <c r="I16" s="33">
        <f t="shared" si="4"/>
        <v>164651</v>
      </c>
      <c r="J16" s="33">
        <f t="shared" si="4"/>
        <v>184975</v>
      </c>
      <c r="K16" s="33">
        <f t="shared" si="4"/>
        <v>204594</v>
      </c>
    </row>
    <row r="17" spans="2:11" ht="18" customHeight="1" x14ac:dyDescent="0.2">
      <c r="B17" s="35" t="s">
        <v>123</v>
      </c>
      <c r="C17" s="27">
        <v>56000</v>
      </c>
      <c r="D17" s="27">
        <v>60800</v>
      </c>
      <c r="E17" s="27">
        <v>69000</v>
      </c>
      <c r="F17" s="27">
        <v>78000</v>
      </c>
    </row>
    <row r="18" spans="2:11" ht="19.5" customHeight="1" x14ac:dyDescent="0.2">
      <c r="B18" s="12" t="s">
        <v>124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2:11" ht="18" customHeight="1" x14ac:dyDescent="0.2">
      <c r="B19" s="46" t="s">
        <v>125</v>
      </c>
      <c r="F19" s="27">
        <v>60500</v>
      </c>
    </row>
    <row r="20" spans="2:11" ht="18" customHeight="1" x14ac:dyDescent="0.2">
      <c r="B20" s="46" t="s">
        <v>126</v>
      </c>
      <c r="F20" s="27">
        <v>55000</v>
      </c>
    </row>
    <row r="21" spans="2:11" ht="18" customHeight="1" x14ac:dyDescent="0.2">
      <c r="B21" s="46" t="s">
        <v>127</v>
      </c>
      <c r="F21" s="27">
        <v>42000</v>
      </c>
    </row>
    <row r="22" spans="2:11" ht="18" customHeight="1" x14ac:dyDescent="0.2">
      <c r="B22" s="46" t="s">
        <v>128</v>
      </c>
      <c r="F22" s="27">
        <v>28000</v>
      </c>
    </row>
    <row r="24" spans="2:11" ht="48" customHeight="1" x14ac:dyDescent="0.2">
      <c r="B24" s="6" t="s">
        <v>129</v>
      </c>
      <c r="C24" s="6"/>
      <c r="D24" s="6"/>
      <c r="E24" s="6"/>
      <c r="F24" s="6"/>
      <c r="G24" s="6"/>
      <c r="H24" s="6"/>
      <c r="I24" s="6"/>
      <c r="J24" s="6"/>
      <c r="K24" s="6"/>
    </row>
  </sheetData>
  <mergeCells count="7">
    <mergeCell ref="B18:K18"/>
    <mergeCell ref="B24:K24"/>
    <mergeCell ref="B1:K1"/>
    <mergeCell ref="B2:K2"/>
    <mergeCell ref="B4:K4"/>
    <mergeCell ref="B9:K9"/>
    <mergeCell ref="B14:K14"/>
  </mergeCells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K20"/>
  <sheetViews>
    <sheetView tabSelected="1" zoomScale="85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11" width="13" customWidth="1"/>
  </cols>
  <sheetData>
    <row r="1" spans="1:11" ht="27.75" customHeight="1" x14ac:dyDescent="0.2">
      <c r="B1" s="14" t="s">
        <v>130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131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32" t="s">
        <v>132</v>
      </c>
      <c r="C4" s="40">
        <f>Hosp_Revenue!C12</f>
        <v>80000</v>
      </c>
      <c r="D4" s="40">
        <f>Hosp_Revenue!D12</f>
        <v>86800</v>
      </c>
      <c r="E4" s="40">
        <f>Hosp_Revenue!E12</f>
        <v>98636</v>
      </c>
      <c r="F4" s="40">
        <f>Hosp_Revenue!F12</f>
        <v>111475</v>
      </c>
      <c r="G4" s="40">
        <f>Hosp_Revenue!G12</f>
        <v>127327</v>
      </c>
      <c r="H4" s="40">
        <f>Hosp_Revenue!H12</f>
        <v>144290</v>
      </c>
      <c r="I4" s="40">
        <f>Hosp_Revenue!I12</f>
        <v>164389</v>
      </c>
      <c r="J4" s="40">
        <f>Hosp_Revenue!J12</f>
        <v>185076</v>
      </c>
      <c r="K4" s="40">
        <f>Hosp_Revenue!K12</f>
        <v>204956</v>
      </c>
    </row>
    <row r="5" spans="1:11" ht="19.5" customHeight="1" x14ac:dyDescent="0.2">
      <c r="B5" s="12" t="s">
        <v>133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18" customHeight="1" x14ac:dyDescent="0.2">
      <c r="B6" s="26" t="s">
        <v>134</v>
      </c>
      <c r="C6" s="41">
        <f>Assumptions!C24</f>
        <v>0.23</v>
      </c>
      <c r="D6" s="41">
        <f>Assumptions!D24</f>
        <v>0.23499999999999999</v>
      </c>
      <c r="E6" s="41">
        <f>Assumptions!E24</f>
        <v>0.23200000000000001</v>
      </c>
      <c r="F6" s="41">
        <f>Assumptions!F24</f>
        <v>0.22800000000000001</v>
      </c>
      <c r="G6" s="41">
        <f>Assumptions!G24</f>
        <v>0.22500000000000001</v>
      </c>
      <c r="H6" s="41">
        <f>Assumptions!H24</f>
        <v>0.22600000000000001</v>
      </c>
      <c r="I6" s="41">
        <f>Assumptions!I24</f>
        <v>0.22500000000000001</v>
      </c>
      <c r="J6" s="41">
        <f>Assumptions!J24</f>
        <v>0.224</v>
      </c>
      <c r="K6" s="41">
        <f>Assumptions!K24</f>
        <v>0.224</v>
      </c>
    </row>
    <row r="7" spans="1:11" ht="18" customHeight="1" x14ac:dyDescent="0.2">
      <c r="B7" s="26" t="s">
        <v>135</v>
      </c>
      <c r="C7" s="41">
        <f>Assumptions!C25</f>
        <v>0.255</v>
      </c>
      <c r="D7" s="41">
        <f>Assumptions!D25</f>
        <v>0.26200000000000001</v>
      </c>
      <c r="E7" s="41">
        <f>Assumptions!E25</f>
        <v>0.26500000000000001</v>
      </c>
      <c r="F7" s="41">
        <f>Assumptions!F25</f>
        <v>0.26800000000000002</v>
      </c>
      <c r="G7" s="41">
        <f>Assumptions!G25</f>
        <v>0.26200000000000001</v>
      </c>
      <c r="H7" s="41">
        <f>Assumptions!H25</f>
        <v>0.26600000000000001</v>
      </c>
      <c r="I7" s="41">
        <f>Assumptions!I25</f>
        <v>0.26400000000000001</v>
      </c>
      <c r="J7" s="41">
        <f>Assumptions!J25</f>
        <v>0.26300000000000001</v>
      </c>
      <c r="K7" s="41">
        <f>Assumptions!K25</f>
        <v>0.26200000000000001</v>
      </c>
    </row>
    <row r="8" spans="1:11" ht="18" customHeight="1" x14ac:dyDescent="0.2">
      <c r="B8" s="26" t="s">
        <v>136</v>
      </c>
      <c r="C8" s="41">
        <f>Assumptions!C26</f>
        <v>6.5000000000000002E-2</v>
      </c>
      <c r="D8" s="41">
        <f>Assumptions!D26</f>
        <v>6.8000000000000005E-2</v>
      </c>
      <c r="E8" s="41">
        <f>Assumptions!E26</f>
        <v>7.0000000000000007E-2</v>
      </c>
      <c r="F8" s="41">
        <f>Assumptions!F26</f>
        <v>7.1999999999999995E-2</v>
      </c>
      <c r="G8" s="41">
        <f>Assumptions!G26</f>
        <v>7.4999999999999997E-2</v>
      </c>
      <c r="H8" s="41">
        <f>Assumptions!H26</f>
        <v>7.2999999999999995E-2</v>
      </c>
      <c r="I8" s="41">
        <f>Assumptions!I26</f>
        <v>7.3999999999999996E-2</v>
      </c>
      <c r="J8" s="41">
        <f>Assumptions!J26</f>
        <v>7.4999999999999997E-2</v>
      </c>
      <c r="K8" s="41">
        <f>Assumptions!K26</f>
        <v>7.4999999999999997E-2</v>
      </c>
    </row>
    <row r="9" spans="1:11" ht="18" customHeight="1" x14ac:dyDescent="0.2">
      <c r="B9" s="26" t="s">
        <v>137</v>
      </c>
      <c r="C9" s="41">
        <f>Assumptions!C27</f>
        <v>0.22</v>
      </c>
      <c r="D9" s="41">
        <f>Assumptions!D27</f>
        <v>0.20699999999999999</v>
      </c>
      <c r="E9" s="41">
        <f>Assumptions!E27</f>
        <v>0.19900000000000001</v>
      </c>
      <c r="F9" s="41">
        <f>Assumptions!F27</f>
        <v>0.191</v>
      </c>
      <c r="G9" s="41">
        <f>Assumptions!G27</f>
        <v>0.20599999999999999</v>
      </c>
      <c r="H9" s="41">
        <f>Assumptions!H27</f>
        <v>0.19</v>
      </c>
      <c r="I9" s="41">
        <f>Assumptions!I27</f>
        <v>0.192</v>
      </c>
      <c r="J9" s="41">
        <f>Assumptions!J27</f>
        <v>0.193</v>
      </c>
      <c r="K9" s="41">
        <f>Assumptions!K27</f>
        <v>0.19400000000000001</v>
      </c>
    </row>
    <row r="10" spans="1:11" ht="18" customHeight="1" x14ac:dyDescent="0.2">
      <c r="B10" s="32" t="s">
        <v>138</v>
      </c>
      <c r="C10" s="44">
        <f t="shared" ref="C10:K10" si="0">C6+C7+C8+C9</f>
        <v>0.77</v>
      </c>
      <c r="D10" s="44">
        <f t="shared" si="0"/>
        <v>0.77199999999999991</v>
      </c>
      <c r="E10" s="44">
        <f t="shared" si="0"/>
        <v>0.76600000000000001</v>
      </c>
      <c r="F10" s="44">
        <f t="shared" si="0"/>
        <v>0.7589999999999999</v>
      </c>
      <c r="G10" s="44">
        <f t="shared" si="0"/>
        <v>0.7679999999999999</v>
      </c>
      <c r="H10" s="44">
        <f t="shared" si="0"/>
        <v>0.75499999999999989</v>
      </c>
      <c r="I10" s="44">
        <f t="shared" si="0"/>
        <v>0.75499999999999989</v>
      </c>
      <c r="J10" s="44">
        <f t="shared" si="0"/>
        <v>0.75499999999999989</v>
      </c>
      <c r="K10" s="44">
        <f t="shared" si="0"/>
        <v>0.75499999999999989</v>
      </c>
    </row>
    <row r="11" spans="1:11" ht="19.5" customHeight="1" x14ac:dyDescent="0.2">
      <c r="B11" s="12" t="s">
        <v>139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8" customHeight="1" x14ac:dyDescent="0.2">
      <c r="B12" s="26" t="s">
        <v>140</v>
      </c>
      <c r="C12" s="33">
        <f t="shared" ref="C12:K12" si="1">ROUND(C4*C6,0)</f>
        <v>18400</v>
      </c>
      <c r="D12" s="33">
        <f t="shared" si="1"/>
        <v>20398</v>
      </c>
      <c r="E12" s="33">
        <f t="shared" si="1"/>
        <v>22884</v>
      </c>
      <c r="F12" s="33">
        <f t="shared" si="1"/>
        <v>25416</v>
      </c>
      <c r="G12" s="33">
        <f t="shared" si="1"/>
        <v>28649</v>
      </c>
      <c r="H12" s="33">
        <f t="shared" si="1"/>
        <v>32610</v>
      </c>
      <c r="I12" s="33">
        <f t="shared" si="1"/>
        <v>36988</v>
      </c>
      <c r="J12" s="33">
        <f t="shared" si="1"/>
        <v>41457</v>
      </c>
      <c r="K12" s="33">
        <f t="shared" si="1"/>
        <v>45910</v>
      </c>
    </row>
    <row r="13" spans="1:11" ht="18" customHeight="1" x14ac:dyDescent="0.2">
      <c r="B13" s="26" t="s">
        <v>141</v>
      </c>
      <c r="C13" s="33">
        <f t="shared" ref="C13:K13" si="2">ROUND(C4*C7,0)</f>
        <v>20400</v>
      </c>
      <c r="D13" s="33">
        <f t="shared" si="2"/>
        <v>22742</v>
      </c>
      <c r="E13" s="33">
        <f t="shared" si="2"/>
        <v>26139</v>
      </c>
      <c r="F13" s="33">
        <f t="shared" si="2"/>
        <v>29875</v>
      </c>
      <c r="G13" s="33">
        <f t="shared" si="2"/>
        <v>33360</v>
      </c>
      <c r="H13" s="33">
        <f t="shared" si="2"/>
        <v>38381</v>
      </c>
      <c r="I13" s="33">
        <f t="shared" si="2"/>
        <v>43399</v>
      </c>
      <c r="J13" s="33">
        <f t="shared" si="2"/>
        <v>48675</v>
      </c>
      <c r="K13" s="33">
        <f t="shared" si="2"/>
        <v>53698</v>
      </c>
    </row>
    <row r="14" spans="1:11" ht="18" customHeight="1" x14ac:dyDescent="0.2">
      <c r="B14" s="26" t="s">
        <v>142</v>
      </c>
      <c r="C14" s="33">
        <f t="shared" ref="C14:K14" si="3">ROUND(C4*C8,0)</f>
        <v>5200</v>
      </c>
      <c r="D14" s="33">
        <f t="shared" si="3"/>
        <v>5902</v>
      </c>
      <c r="E14" s="33">
        <f t="shared" si="3"/>
        <v>6905</v>
      </c>
      <c r="F14" s="33">
        <f t="shared" si="3"/>
        <v>8026</v>
      </c>
      <c r="G14" s="33">
        <f t="shared" si="3"/>
        <v>9550</v>
      </c>
      <c r="H14" s="33">
        <f t="shared" si="3"/>
        <v>10533</v>
      </c>
      <c r="I14" s="33">
        <f t="shared" si="3"/>
        <v>12165</v>
      </c>
      <c r="J14" s="33">
        <f t="shared" si="3"/>
        <v>13881</v>
      </c>
      <c r="K14" s="33">
        <f t="shared" si="3"/>
        <v>15372</v>
      </c>
    </row>
    <row r="15" spans="1:11" ht="18" customHeight="1" x14ac:dyDescent="0.2">
      <c r="B15" s="26" t="s">
        <v>143</v>
      </c>
      <c r="C15" s="33">
        <f t="shared" ref="C15:K15" si="4">ROUND(C4*C9,0)</f>
        <v>17600</v>
      </c>
      <c r="D15" s="33">
        <f t="shared" si="4"/>
        <v>17968</v>
      </c>
      <c r="E15" s="33">
        <f t="shared" si="4"/>
        <v>19629</v>
      </c>
      <c r="F15" s="33">
        <f t="shared" si="4"/>
        <v>21292</v>
      </c>
      <c r="G15" s="33">
        <f t="shared" si="4"/>
        <v>26229</v>
      </c>
      <c r="H15" s="33">
        <f t="shared" si="4"/>
        <v>27415</v>
      </c>
      <c r="I15" s="33">
        <f t="shared" si="4"/>
        <v>31563</v>
      </c>
      <c r="J15" s="33">
        <f t="shared" si="4"/>
        <v>35720</v>
      </c>
      <c r="K15" s="33">
        <f t="shared" si="4"/>
        <v>39761</v>
      </c>
    </row>
    <row r="16" spans="1:11" ht="19.5" customHeight="1" x14ac:dyDescent="0.2">
      <c r="B16" s="32" t="s">
        <v>144</v>
      </c>
      <c r="C16" s="33">
        <f t="shared" ref="C16:K16" si="5">C12+C13+C14+C15</f>
        <v>61600</v>
      </c>
      <c r="D16" s="33">
        <f t="shared" si="5"/>
        <v>67010</v>
      </c>
      <c r="E16" s="33">
        <f t="shared" si="5"/>
        <v>75557</v>
      </c>
      <c r="F16" s="33">
        <f t="shared" si="5"/>
        <v>84609</v>
      </c>
      <c r="G16" s="33">
        <f t="shared" si="5"/>
        <v>97788</v>
      </c>
      <c r="H16" s="33">
        <f t="shared" si="5"/>
        <v>108939</v>
      </c>
      <c r="I16" s="33">
        <f t="shared" si="5"/>
        <v>124115</v>
      </c>
      <c r="J16" s="33">
        <f t="shared" si="5"/>
        <v>139733</v>
      </c>
      <c r="K16" s="33">
        <f t="shared" si="5"/>
        <v>154741</v>
      </c>
    </row>
    <row r="17" spans="2:11" ht="19.5" customHeight="1" x14ac:dyDescent="0.2">
      <c r="B17" s="12" t="s">
        <v>145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2:11" ht="21.75" customHeight="1" x14ac:dyDescent="0.2">
      <c r="B18" s="32" t="s">
        <v>146</v>
      </c>
      <c r="C18" s="47">
        <f t="shared" ref="C18:K18" si="6">C4-C16</f>
        <v>18400</v>
      </c>
      <c r="D18" s="47">
        <f t="shared" si="6"/>
        <v>19790</v>
      </c>
      <c r="E18" s="47">
        <f t="shared" si="6"/>
        <v>23079</v>
      </c>
      <c r="F18" s="47">
        <f t="shared" si="6"/>
        <v>26866</v>
      </c>
      <c r="G18" s="47">
        <f t="shared" si="6"/>
        <v>29539</v>
      </c>
      <c r="H18" s="47">
        <f t="shared" si="6"/>
        <v>35351</v>
      </c>
      <c r="I18" s="47">
        <f t="shared" si="6"/>
        <v>40274</v>
      </c>
      <c r="J18" s="47">
        <f t="shared" si="6"/>
        <v>45343</v>
      </c>
      <c r="K18" s="47">
        <f t="shared" si="6"/>
        <v>50215</v>
      </c>
    </row>
    <row r="19" spans="2:11" ht="18" customHeight="1" x14ac:dyDescent="0.2">
      <c r="B19" s="34" t="s">
        <v>147</v>
      </c>
      <c r="C19" s="44">
        <f t="shared" ref="C19:K19" si="7">IF(C4=0,"",C18/C4)</f>
        <v>0.23</v>
      </c>
      <c r="D19" s="44">
        <f t="shared" si="7"/>
        <v>0.22799539170506913</v>
      </c>
      <c r="E19" s="44">
        <f t="shared" si="7"/>
        <v>0.23398150776592724</v>
      </c>
      <c r="F19" s="44">
        <f t="shared" si="7"/>
        <v>0.24100470957613815</v>
      </c>
      <c r="G19" s="44">
        <f t="shared" si="7"/>
        <v>0.23199321432217831</v>
      </c>
      <c r="H19" s="44">
        <f t="shared" si="7"/>
        <v>0.24499965347563935</v>
      </c>
      <c r="I19" s="44">
        <f t="shared" si="7"/>
        <v>0.24499206151263161</v>
      </c>
      <c r="J19" s="44">
        <f t="shared" si="7"/>
        <v>0.24499665002485466</v>
      </c>
      <c r="K19" s="44">
        <f t="shared" si="7"/>
        <v>0.24500380569488087</v>
      </c>
    </row>
    <row r="20" spans="2:11" ht="18" customHeight="1" x14ac:dyDescent="0.2">
      <c r="B20" s="35" t="s">
        <v>148</v>
      </c>
      <c r="C20" s="41">
        <f>Assumptions!C19</f>
        <v>0.23100000000000001</v>
      </c>
      <c r="D20" s="41">
        <f>Assumptions!D19</f>
        <v>0.22800000000000001</v>
      </c>
      <c r="E20" s="41">
        <f>Assumptions!E19</f>
        <v>0.23400000000000001</v>
      </c>
      <c r="F20" s="41">
        <f>Assumptions!F19</f>
        <v>0.24099999999999999</v>
      </c>
      <c r="G20" s="41">
        <f>Assumptions!G19</f>
        <v>0.2320000000000001</v>
      </c>
      <c r="H20" s="41">
        <f>Assumptions!H19</f>
        <v>0.24500000000000011</v>
      </c>
      <c r="I20" s="41">
        <f>Assumptions!I19</f>
        <v>0.24500000000000011</v>
      </c>
      <c r="J20" s="41">
        <f>Assumptions!J19</f>
        <v>0.24500000000000011</v>
      </c>
      <c r="K20" s="41">
        <f>Assumptions!K19</f>
        <v>0.24500000000000011</v>
      </c>
    </row>
  </sheetData>
  <mergeCells count="5">
    <mergeCell ref="B1:K1"/>
    <mergeCell ref="B2:K2"/>
    <mergeCell ref="B5:K5"/>
    <mergeCell ref="B11:K11"/>
    <mergeCell ref="B17:K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K29"/>
  <sheetViews>
    <sheetView zoomScale="106" zoomScaleNormal="75" workbookViewId="0">
      <pane xSplit="2" ySplit="3" topLeftCell="C6" activePane="bottomRight" state="frozen"/>
      <selection pane="topRight" activeCell="C1" sqref="C1"/>
      <selection pane="bottomLeft" activeCell="A6" sqref="A6"/>
      <selection pane="bottomRight" activeCell="U27" sqref="U27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11" width="13" customWidth="1"/>
  </cols>
  <sheetData>
    <row r="1" spans="1:11" ht="27.75" customHeight="1" x14ac:dyDescent="0.2">
      <c r="B1" s="14" t="s">
        <v>149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150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151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26" t="s">
        <v>152</v>
      </c>
      <c r="C5" s="28">
        <v>80000</v>
      </c>
      <c r="D5" s="28">
        <v>86800</v>
      </c>
      <c r="E5" s="28">
        <v>98636</v>
      </c>
      <c r="F5" s="28">
        <v>111475</v>
      </c>
      <c r="G5" s="28">
        <v>127501</v>
      </c>
      <c r="H5" s="40">
        <f>Assumptions!H10</f>
        <v>144290</v>
      </c>
      <c r="I5" s="40">
        <f>Assumptions!I10</f>
        <v>164389</v>
      </c>
      <c r="J5" s="40">
        <f>Assumptions!J10</f>
        <v>185076</v>
      </c>
      <c r="K5" s="40">
        <f>Assumptions!K10</f>
        <v>204956</v>
      </c>
    </row>
    <row r="6" spans="1:11" ht="18" customHeight="1" x14ac:dyDescent="0.2">
      <c r="B6" s="26" t="s">
        <v>153</v>
      </c>
      <c r="C6" s="28">
        <v>53626</v>
      </c>
      <c r="D6" s="28">
        <v>67124</v>
      </c>
      <c r="E6" s="28">
        <v>78269</v>
      </c>
      <c r="F6" s="28">
        <v>90930</v>
      </c>
      <c r="G6" s="28">
        <v>108081</v>
      </c>
      <c r="H6" s="40">
        <f>Assumptions!H13</f>
        <v>125600</v>
      </c>
      <c r="I6" s="40">
        <f>Assumptions!I13</f>
        <v>144400</v>
      </c>
      <c r="J6" s="40">
        <f>Assumptions!J13</f>
        <v>164600</v>
      </c>
      <c r="K6" s="40">
        <f>Assumptions!K13</f>
        <v>184400</v>
      </c>
    </row>
    <row r="7" spans="1:11" ht="18" customHeight="1" x14ac:dyDescent="0.2">
      <c r="B7" s="26" t="s">
        <v>154</v>
      </c>
      <c r="C7" s="28">
        <v>13000</v>
      </c>
      <c r="D7" s="28">
        <v>12200</v>
      </c>
      <c r="E7" s="28">
        <v>13653</v>
      </c>
      <c r="F7" s="28">
        <v>15535</v>
      </c>
      <c r="G7" s="28">
        <v>16703</v>
      </c>
      <c r="H7" s="40">
        <f>Assumptions!H15</f>
        <v>19660</v>
      </c>
      <c r="I7" s="40">
        <f>Assumptions!I15</f>
        <v>21820</v>
      </c>
      <c r="J7" s="40">
        <f>Assumptions!J15</f>
        <v>24000</v>
      </c>
      <c r="K7" s="40">
        <f>Assumptions!K15</f>
        <v>26400</v>
      </c>
    </row>
    <row r="8" spans="1:11" ht="21.75" customHeight="1" x14ac:dyDescent="0.2">
      <c r="B8" s="15" t="s">
        <v>155</v>
      </c>
      <c r="C8" s="48">
        <v>146626</v>
      </c>
      <c r="D8" s="48">
        <v>166124</v>
      </c>
      <c r="E8" s="48">
        <v>190558</v>
      </c>
      <c r="F8" s="48">
        <v>217940</v>
      </c>
      <c r="G8" s="48">
        <v>252285</v>
      </c>
      <c r="H8" s="49">
        <f>H5+H6+H7</f>
        <v>289550</v>
      </c>
      <c r="I8" s="49">
        <f>I5+I6+I7</f>
        <v>330609</v>
      </c>
      <c r="J8" s="49">
        <f>J5+J6+J7</f>
        <v>373676</v>
      </c>
      <c r="K8" s="49">
        <f>K5+K6+K7</f>
        <v>415756</v>
      </c>
    </row>
    <row r="9" spans="1:11" ht="18" customHeight="1" x14ac:dyDescent="0.2">
      <c r="B9" s="29" t="s">
        <v>156</v>
      </c>
      <c r="C9" s="45"/>
      <c r="D9" s="45">
        <f>IF(D8=0,"",D8/C8-1)</f>
        <v>0.13297778020269257</v>
      </c>
      <c r="E9" s="45">
        <f>IF(E8=0,"",E8/D8-1)</f>
        <v>0.14708290192867968</v>
      </c>
      <c r="F9" s="45">
        <f>IF(F8=0,"",F8/E8-1)</f>
        <v>0.14369378351997808</v>
      </c>
      <c r="G9" s="45">
        <f>IF(G8=0,"",G8/F8-1)</f>
        <v>0.15758924474626035</v>
      </c>
      <c r="H9" s="44">
        <f>IF(G8=0,"",H8/G8-1)</f>
        <v>0.14770993122857079</v>
      </c>
      <c r="I9" s="44">
        <f>IF(H8=0,"",I8/H8-1)</f>
        <v>0.14180279744431012</v>
      </c>
      <c r="J9" s="44">
        <f>IF(I8=0,"",J8/I8-1)</f>
        <v>0.13026566124939132</v>
      </c>
      <c r="K9" s="44">
        <f>IF(J8=0,"",K8/J8-1)</f>
        <v>0.11261092497243608</v>
      </c>
    </row>
    <row r="10" spans="1:11" ht="19.5" customHeight="1" x14ac:dyDescent="0.2">
      <c r="B10" s="12" t="s">
        <v>157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ht="18" customHeight="1" x14ac:dyDescent="0.2">
      <c r="B11" s="26" t="s">
        <v>158</v>
      </c>
      <c r="C11" s="28">
        <v>20452</v>
      </c>
      <c r="D11" s="28">
        <v>18843</v>
      </c>
      <c r="E11" s="28">
        <v>21813</v>
      </c>
      <c r="F11" s="28">
        <v>27283</v>
      </c>
      <c r="G11" s="28">
        <v>29580</v>
      </c>
      <c r="H11" s="40">
        <f>Hosp_Cost!H18</f>
        <v>35351</v>
      </c>
      <c r="I11" s="40">
        <f>Hosp_Cost!I18</f>
        <v>40274</v>
      </c>
      <c r="J11" s="40">
        <f>Hosp_Cost!J18</f>
        <v>45343</v>
      </c>
      <c r="K11" s="40">
        <f>Hosp_Cost!K18</f>
        <v>50215</v>
      </c>
    </row>
    <row r="12" spans="1:11" ht="18" customHeight="1" x14ac:dyDescent="0.2">
      <c r="B12" s="26" t="s">
        <v>159</v>
      </c>
      <c r="C12" s="28">
        <v>268</v>
      </c>
      <c r="D12" s="28">
        <v>537</v>
      </c>
      <c r="E12" s="28">
        <v>783</v>
      </c>
      <c r="F12" s="28">
        <v>1273</v>
      </c>
      <c r="G12" s="28">
        <v>9511</v>
      </c>
      <c r="H12" s="33">
        <f>ROUND(H6*Assumptions!H20,0)</f>
        <v>3517</v>
      </c>
      <c r="I12" s="33">
        <f>ROUND(I6*Assumptions!I20,0)</f>
        <v>5487</v>
      </c>
      <c r="J12" s="33">
        <f>ROUND(J6*Assumptions!J20,0)</f>
        <v>7407</v>
      </c>
      <c r="K12" s="33">
        <f>ROUND(K6*Assumptions!K20,0)</f>
        <v>9220</v>
      </c>
    </row>
    <row r="13" spans="1:11" ht="18" customHeight="1" x14ac:dyDescent="0.2">
      <c r="B13" s="26" t="s">
        <v>160</v>
      </c>
      <c r="C13" s="28">
        <v>1131</v>
      </c>
      <c r="D13" s="28">
        <v>1116</v>
      </c>
      <c r="E13" s="28">
        <v>1311</v>
      </c>
      <c r="F13" s="28">
        <v>1662</v>
      </c>
      <c r="G13" s="28">
        <v>2255</v>
      </c>
      <c r="H13" s="33">
        <f>ROUND(H7*Assumptions!H21,0)</f>
        <v>2458</v>
      </c>
      <c r="I13" s="33">
        <f>ROUND(I7*Assumptions!I21,0)</f>
        <v>2837</v>
      </c>
      <c r="J13" s="33">
        <f>ROUND(J7*Assumptions!J21,0)</f>
        <v>3240</v>
      </c>
      <c r="K13" s="33">
        <f>ROUND(K7*Assumptions!K21,0)</f>
        <v>3696</v>
      </c>
    </row>
    <row r="14" spans="1:11" ht="18" customHeight="1" x14ac:dyDescent="0.2">
      <c r="B14" s="34" t="s">
        <v>161</v>
      </c>
      <c r="C14" s="27">
        <v>0</v>
      </c>
      <c r="D14" s="27">
        <v>0</v>
      </c>
      <c r="E14" s="27">
        <v>0</v>
      </c>
      <c r="F14" s="27">
        <v>0</v>
      </c>
      <c r="G14" s="28">
        <v>-3656</v>
      </c>
      <c r="H14" s="27">
        <v>-1500</v>
      </c>
      <c r="I14" s="27">
        <v>-1500</v>
      </c>
      <c r="J14" s="27">
        <v>-1500</v>
      </c>
      <c r="K14" s="27">
        <v>-1500</v>
      </c>
    </row>
    <row r="15" spans="1:11" ht="21.75" customHeight="1" x14ac:dyDescent="0.2">
      <c r="B15" s="15" t="s">
        <v>162</v>
      </c>
      <c r="C15" s="48">
        <v>21851</v>
      </c>
      <c r="D15" s="48">
        <v>20496</v>
      </c>
      <c r="E15" s="48">
        <v>23907</v>
      </c>
      <c r="F15" s="48">
        <v>30218</v>
      </c>
      <c r="G15" s="48">
        <v>37690</v>
      </c>
      <c r="H15" s="49">
        <f>H11+H12+H13+H14</f>
        <v>39826</v>
      </c>
      <c r="I15" s="49">
        <f>I11+I12+I13+I14</f>
        <v>47098</v>
      </c>
      <c r="J15" s="49">
        <f>J11+J12+J13+J14</f>
        <v>54490</v>
      </c>
      <c r="K15" s="49">
        <f>K11+K12+K13+K14</f>
        <v>61631</v>
      </c>
    </row>
    <row r="16" spans="1:11" ht="18" customHeight="1" x14ac:dyDescent="0.2">
      <c r="B16" s="29" t="s">
        <v>163</v>
      </c>
      <c r="C16" s="45">
        <f t="shared" ref="C16:K16" si="0">IF(C8=0,"",C15/C8)</f>
        <v>0.14902541159139579</v>
      </c>
      <c r="D16" s="45">
        <f t="shared" si="0"/>
        <v>0.12337771784931738</v>
      </c>
      <c r="E16" s="45">
        <f t="shared" si="0"/>
        <v>0.12545786584661889</v>
      </c>
      <c r="F16" s="45">
        <f t="shared" si="0"/>
        <v>0.13865284023125632</v>
      </c>
      <c r="G16" s="45">
        <f t="shared" si="0"/>
        <v>0.14939453395960917</v>
      </c>
      <c r="H16" s="44">
        <f t="shared" si="0"/>
        <v>0.13754446554999136</v>
      </c>
      <c r="I16" s="44">
        <f t="shared" si="0"/>
        <v>0.1424583117821959</v>
      </c>
      <c r="J16" s="44">
        <f t="shared" si="0"/>
        <v>0.14582151382481079</v>
      </c>
      <c r="K16" s="44">
        <f t="shared" si="0"/>
        <v>0.14823838982480109</v>
      </c>
    </row>
    <row r="17" spans="2:11" ht="19.5" customHeight="1" x14ac:dyDescent="0.2">
      <c r="B17" s="12" t="s">
        <v>164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2:11" ht="18" customHeight="1" x14ac:dyDescent="0.2">
      <c r="B18" s="26" t="s">
        <v>165</v>
      </c>
      <c r="C18" s="28">
        <v>6007</v>
      </c>
      <c r="D18" s="28">
        <v>6152</v>
      </c>
      <c r="E18" s="28">
        <v>6870</v>
      </c>
      <c r="F18" s="28">
        <v>7575</v>
      </c>
      <c r="G18" s="28">
        <v>8761</v>
      </c>
      <c r="H18" s="40">
        <f>Assumptions!H29</f>
        <v>8900</v>
      </c>
      <c r="I18" s="40">
        <f>Assumptions!I29</f>
        <v>9500</v>
      </c>
      <c r="J18" s="40">
        <f>Assumptions!J29</f>
        <v>10000</v>
      </c>
      <c r="K18" s="40">
        <f>Assumptions!K29</f>
        <v>10500</v>
      </c>
    </row>
    <row r="19" spans="2:11" ht="19.5" customHeight="1" x14ac:dyDescent="0.2">
      <c r="B19" s="15" t="s">
        <v>166</v>
      </c>
      <c r="C19" s="28">
        <v>15844</v>
      </c>
      <c r="D19" s="28">
        <v>14344</v>
      </c>
      <c r="E19" s="28">
        <v>17037</v>
      </c>
      <c r="F19" s="28">
        <v>22643</v>
      </c>
      <c r="G19" s="28">
        <v>28929</v>
      </c>
      <c r="H19" s="50">
        <f>H15-H18</f>
        <v>30926</v>
      </c>
      <c r="I19" s="50">
        <f>I15-I18</f>
        <v>37598</v>
      </c>
      <c r="J19" s="50">
        <f>J15-J18</f>
        <v>44490</v>
      </c>
      <c r="K19" s="50">
        <f>K15-K18</f>
        <v>51131</v>
      </c>
    </row>
    <row r="20" spans="2:11" ht="18" customHeight="1" x14ac:dyDescent="0.2">
      <c r="B20" s="29" t="s">
        <v>167</v>
      </c>
      <c r="C20" s="45">
        <f t="shared" ref="C20:K20" si="1">IF(C8=0,"",C19/C8)</f>
        <v>0.10805723405125967</v>
      </c>
      <c r="D20" s="45">
        <f t="shared" si="1"/>
        <v>8.6345139775107757E-2</v>
      </c>
      <c r="E20" s="45">
        <f t="shared" si="1"/>
        <v>8.9405850187344538E-2</v>
      </c>
      <c r="F20" s="45">
        <f t="shared" si="1"/>
        <v>0.10389556758740938</v>
      </c>
      <c r="G20" s="45">
        <f t="shared" si="1"/>
        <v>0.11466793507342886</v>
      </c>
      <c r="H20" s="44">
        <f t="shared" si="1"/>
        <v>0.10680711448799862</v>
      </c>
      <c r="I20" s="44">
        <f t="shared" si="1"/>
        <v>0.11372346185373054</v>
      </c>
      <c r="J20" s="44">
        <f t="shared" si="1"/>
        <v>0.11906036245303418</v>
      </c>
      <c r="K20" s="44">
        <f t="shared" si="1"/>
        <v>0.12298319206457634</v>
      </c>
    </row>
    <row r="21" spans="2:11" ht="18" customHeight="1" x14ac:dyDescent="0.2">
      <c r="B21" s="26" t="s">
        <v>168</v>
      </c>
      <c r="C21" s="28">
        <v>3786</v>
      </c>
      <c r="D21" s="28">
        <v>3808</v>
      </c>
      <c r="E21" s="28">
        <v>4494</v>
      </c>
      <c r="F21" s="28">
        <v>4585</v>
      </c>
      <c r="G21" s="28">
        <v>4496</v>
      </c>
      <c r="H21" s="40">
        <f>Assumptions!H30</f>
        <v>4200</v>
      </c>
      <c r="I21" s="40">
        <f>Assumptions!I30</f>
        <v>4000</v>
      </c>
      <c r="J21" s="40">
        <f>Assumptions!J30</f>
        <v>3800</v>
      </c>
      <c r="K21" s="40">
        <f>Assumptions!K30</f>
        <v>3600</v>
      </c>
    </row>
    <row r="22" spans="2:11" ht="18" customHeight="1" x14ac:dyDescent="0.2">
      <c r="B22" s="26" t="s">
        <v>169</v>
      </c>
      <c r="C22" s="28">
        <v>781</v>
      </c>
      <c r="D22" s="28">
        <v>903</v>
      </c>
      <c r="E22" s="28">
        <v>1063</v>
      </c>
      <c r="F22" s="28">
        <v>2003</v>
      </c>
      <c r="G22" s="28">
        <v>2676</v>
      </c>
      <c r="H22" s="40">
        <f>Assumptions!H31</f>
        <v>1600</v>
      </c>
      <c r="I22" s="40">
        <f>Assumptions!I31</f>
        <v>1700</v>
      </c>
      <c r="J22" s="40">
        <f>Assumptions!J31</f>
        <v>1800</v>
      </c>
      <c r="K22" s="40">
        <f>Assumptions!K31</f>
        <v>1900</v>
      </c>
    </row>
    <row r="23" spans="2:11" ht="19.5" customHeight="1" x14ac:dyDescent="0.2">
      <c r="B23" s="15" t="s">
        <v>170</v>
      </c>
      <c r="C23" s="48">
        <v>15781</v>
      </c>
      <c r="D23" s="48">
        <v>11439</v>
      </c>
      <c r="E23" s="48">
        <v>13625</v>
      </c>
      <c r="F23" s="48">
        <v>20061</v>
      </c>
      <c r="G23" s="48">
        <v>26609</v>
      </c>
      <c r="H23" s="49">
        <f>H19-H21+H22</f>
        <v>28326</v>
      </c>
      <c r="I23" s="49">
        <f>I19-I21+I22</f>
        <v>35298</v>
      </c>
      <c r="J23" s="49">
        <f>J19-J21+J22</f>
        <v>42490</v>
      </c>
      <c r="K23" s="49">
        <f>K19-K21+K22</f>
        <v>49431</v>
      </c>
    </row>
    <row r="24" spans="2:11" ht="18" customHeight="1" x14ac:dyDescent="0.2">
      <c r="B24" s="26" t="s">
        <v>171</v>
      </c>
      <c r="C24" s="28">
        <v>4770</v>
      </c>
      <c r="D24" s="28">
        <v>2562</v>
      </c>
      <c r="E24" s="28">
        <v>4455</v>
      </c>
      <c r="F24" s="28">
        <v>5340</v>
      </c>
      <c r="G24" s="28">
        <v>6582</v>
      </c>
      <c r="H24" s="33">
        <f>ROUND(MAX(H23,0)*Assumptions!H32,0)</f>
        <v>7648</v>
      </c>
      <c r="I24" s="33">
        <f>ROUND(MAX(I23,0)*Assumptions!I32,0)</f>
        <v>9530</v>
      </c>
      <c r="J24" s="33">
        <f>ROUND(MAX(J23,0)*Assumptions!J32,0)</f>
        <v>11472</v>
      </c>
      <c r="K24" s="33">
        <f>ROUND(MAX(K23,0)*Assumptions!K32,0)</f>
        <v>13346</v>
      </c>
    </row>
    <row r="25" spans="2:11" ht="18" customHeight="1" x14ac:dyDescent="0.2">
      <c r="B25" s="26" t="s">
        <v>172</v>
      </c>
      <c r="C25" s="28">
        <v>454</v>
      </c>
      <c r="D25" s="28">
        <v>687</v>
      </c>
      <c r="E25" s="28">
        <v>184</v>
      </c>
      <c r="F25" s="28">
        <v>262</v>
      </c>
      <c r="G25" s="28">
        <v>608</v>
      </c>
      <c r="H25" s="40">
        <f>Assumptions!H33</f>
        <v>300</v>
      </c>
      <c r="I25" s="40">
        <f>Assumptions!I33</f>
        <v>320</v>
      </c>
      <c r="J25" s="40">
        <f>Assumptions!J33</f>
        <v>340</v>
      </c>
      <c r="K25" s="40">
        <f>Assumptions!K33</f>
        <v>360</v>
      </c>
    </row>
    <row r="26" spans="2:11" ht="21.75" customHeight="1" x14ac:dyDescent="0.2">
      <c r="B26" s="15" t="s">
        <v>173</v>
      </c>
      <c r="C26" s="48">
        <v>10557</v>
      </c>
      <c r="D26" s="48">
        <v>8190</v>
      </c>
      <c r="E26" s="48">
        <v>8986</v>
      </c>
      <c r="F26" s="48">
        <v>14459</v>
      </c>
      <c r="G26" s="48">
        <v>19419</v>
      </c>
      <c r="H26" s="49">
        <f>H23-H24-H25</f>
        <v>20378</v>
      </c>
      <c r="I26" s="49">
        <f>I23-I24-I25</f>
        <v>25448</v>
      </c>
      <c r="J26" s="49">
        <f>J23-J24-J25</f>
        <v>30678</v>
      </c>
      <c r="K26" s="49">
        <f>K23-K24-K25</f>
        <v>35725</v>
      </c>
    </row>
    <row r="27" spans="2:11" ht="18" customHeight="1" x14ac:dyDescent="0.2">
      <c r="B27" s="29" t="s">
        <v>174</v>
      </c>
      <c r="C27" s="45">
        <f t="shared" ref="C27:K27" si="2">IF(C8=0,"",C26/C8)</f>
        <v>7.1999508954755639E-2</v>
      </c>
      <c r="D27" s="45">
        <f t="shared" si="2"/>
        <v>4.9300522501264113E-2</v>
      </c>
      <c r="E27" s="45">
        <f t="shared" si="2"/>
        <v>4.7156246392174563E-2</v>
      </c>
      <c r="F27" s="45">
        <f t="shared" si="2"/>
        <v>6.6343947875562082E-2</v>
      </c>
      <c r="G27" s="45">
        <f t="shared" si="2"/>
        <v>7.6972471609489265E-2</v>
      </c>
      <c r="H27" s="44">
        <f t="shared" si="2"/>
        <v>7.0378173027111038E-2</v>
      </c>
      <c r="I27" s="44">
        <f t="shared" si="2"/>
        <v>7.6973101155745918E-2</v>
      </c>
      <c r="J27" s="44">
        <f t="shared" si="2"/>
        <v>8.2097860178336313E-2</v>
      </c>
      <c r="K27" s="44">
        <f t="shared" si="2"/>
        <v>8.5927803808002773E-2</v>
      </c>
    </row>
    <row r="28" spans="2:11" ht="21.75" customHeight="1" x14ac:dyDescent="0.2">
      <c r="B28" s="15" t="s">
        <v>175</v>
      </c>
      <c r="C28" s="51">
        <v>73.41</v>
      </c>
      <c r="D28" s="51">
        <v>56.95</v>
      </c>
      <c r="E28" s="51">
        <v>62.49</v>
      </c>
      <c r="F28" s="51">
        <v>100.55</v>
      </c>
      <c r="G28" s="51">
        <v>135.04</v>
      </c>
      <c r="H28" s="52">
        <f>IF(H26=0,"",H26/143.8)</f>
        <v>141.71070931849789</v>
      </c>
      <c r="I28" s="52">
        <f>IF(I26=0,"",I26/143.8)</f>
        <v>176.96801112656465</v>
      </c>
      <c r="J28" s="52">
        <f>IF(J26=0,"",J26/143.8)</f>
        <v>213.33796940194713</v>
      </c>
      <c r="K28" s="52">
        <f>IF(K26=0,"",K26/143.8)</f>
        <v>248.43532684283724</v>
      </c>
    </row>
    <row r="29" spans="2:11" ht="18" customHeight="1" x14ac:dyDescent="0.2">
      <c r="B29" s="53" t="s">
        <v>176</v>
      </c>
      <c r="C29" s="38">
        <v>68.099999999999994</v>
      </c>
      <c r="D29" s="38">
        <v>48.2</v>
      </c>
      <c r="E29" s="38">
        <v>62.4</v>
      </c>
      <c r="F29" s="38">
        <v>100.6</v>
      </c>
    </row>
  </sheetData>
  <mergeCells count="5">
    <mergeCell ref="B1:K1"/>
    <mergeCell ref="B2:K2"/>
    <mergeCell ref="B4:K4"/>
    <mergeCell ref="B10:K10"/>
    <mergeCell ref="B17:K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9D18E"/>
    <pageSetUpPr fitToPage="1"/>
  </sheetPr>
  <dimension ref="A1:K41"/>
  <sheetViews>
    <sheetView zoomScale="67" zoomScaleNormal="67" workbookViewId="0">
      <pane xSplit="2" ySplit="3" topLeftCell="C7" activePane="bottomRight" state="frozen"/>
      <selection pane="topRight" activeCell="C1" sqref="C1"/>
      <selection pane="bottomLeft" activeCell="A7" sqref="A7"/>
      <selection pane="bottomRight" activeCell="G19" sqref="G19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11" width="13" customWidth="1"/>
  </cols>
  <sheetData>
    <row r="1" spans="1:11" ht="27.75" customHeight="1" x14ac:dyDescent="0.2">
      <c r="B1" s="14" t="s">
        <v>177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178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179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26" t="s">
        <v>180</v>
      </c>
      <c r="C5" s="27">
        <v>719</v>
      </c>
      <c r="D5" s="27">
        <v>719</v>
      </c>
      <c r="E5" s="27">
        <v>719</v>
      </c>
      <c r="F5" s="27">
        <v>719</v>
      </c>
      <c r="G5" s="28">
        <v>719</v>
      </c>
      <c r="H5" s="27">
        <v>719</v>
      </c>
      <c r="I5" s="27">
        <v>719</v>
      </c>
      <c r="J5" s="27">
        <v>719</v>
      </c>
      <c r="K5" s="27">
        <v>719</v>
      </c>
    </row>
    <row r="6" spans="1:11" ht="18" customHeight="1" x14ac:dyDescent="0.2">
      <c r="B6" s="26" t="s">
        <v>181</v>
      </c>
      <c r="C6" s="27">
        <v>55733</v>
      </c>
      <c r="D6" s="27">
        <v>61253</v>
      </c>
      <c r="E6" s="27">
        <v>68635</v>
      </c>
      <c r="F6" s="27">
        <v>81404</v>
      </c>
      <c r="G6" s="28">
        <v>99026</v>
      </c>
      <c r="H6" s="33">
        <f>G6+Inc_Statement!H26-720</f>
        <v>118684</v>
      </c>
      <c r="I6" s="33">
        <f>H6+Inc_Statement!I26-720</f>
        <v>143412</v>
      </c>
      <c r="J6" s="33">
        <f>I6+Inc_Statement!J26-720</f>
        <v>173370</v>
      </c>
      <c r="K6" s="33">
        <f>J6+Inc_Statement!K26-720</f>
        <v>208375</v>
      </c>
    </row>
    <row r="7" spans="1:11" ht="18" customHeight="1" x14ac:dyDescent="0.2">
      <c r="B7" s="32" t="s">
        <v>182</v>
      </c>
      <c r="C7" s="49">
        <f>C5+C6</f>
        <v>56452</v>
      </c>
      <c r="D7" s="49">
        <f>D5+D6</f>
        <v>61972</v>
      </c>
      <c r="E7" s="49">
        <f>E5+E6</f>
        <v>69354</v>
      </c>
      <c r="F7" s="49">
        <f>F5+F6</f>
        <v>82123</v>
      </c>
      <c r="G7" s="48">
        <v>99745</v>
      </c>
      <c r="H7" s="49">
        <f>H5+H6</f>
        <v>119403</v>
      </c>
      <c r="I7" s="49">
        <f>I5+I6</f>
        <v>144131</v>
      </c>
      <c r="J7" s="49">
        <f>J5+J6</f>
        <v>174089</v>
      </c>
      <c r="K7" s="49">
        <f>K5+K6</f>
        <v>209094</v>
      </c>
    </row>
    <row r="8" spans="1:11" ht="18" customHeight="1" x14ac:dyDescent="0.2">
      <c r="B8" s="26" t="s">
        <v>183</v>
      </c>
      <c r="C8" s="27">
        <v>2543</v>
      </c>
      <c r="D8" s="27">
        <v>3341</v>
      </c>
      <c r="E8" s="27">
        <v>3851</v>
      </c>
      <c r="F8" s="27">
        <v>4406</v>
      </c>
      <c r="G8" s="28">
        <v>4406</v>
      </c>
      <c r="H8" s="27">
        <v>4406</v>
      </c>
      <c r="I8" s="27">
        <v>4406</v>
      </c>
      <c r="J8" s="27">
        <v>4406</v>
      </c>
      <c r="K8" s="27">
        <v>4406</v>
      </c>
    </row>
    <row r="9" spans="1:11" ht="18" customHeight="1" x14ac:dyDescent="0.2">
      <c r="B9" s="26" t="s">
        <v>184</v>
      </c>
      <c r="C9" s="27">
        <v>26357</v>
      </c>
      <c r="D9" s="27">
        <v>27103</v>
      </c>
      <c r="E9" s="27">
        <v>31619</v>
      </c>
      <c r="F9" s="27">
        <v>52752</v>
      </c>
      <c r="G9" s="28">
        <v>56585</v>
      </c>
      <c r="H9" s="27">
        <v>43000</v>
      </c>
      <c r="I9" s="27">
        <v>38000</v>
      </c>
      <c r="J9" s="27">
        <v>34000</v>
      </c>
      <c r="K9" s="27">
        <v>30000</v>
      </c>
    </row>
    <row r="10" spans="1:11" ht="18" customHeight="1" x14ac:dyDescent="0.2">
      <c r="B10" s="26" t="s">
        <v>185</v>
      </c>
      <c r="C10" s="27">
        <v>13333</v>
      </c>
      <c r="D10" s="27">
        <v>14983</v>
      </c>
      <c r="E10" s="27">
        <v>19814</v>
      </c>
      <c r="F10" s="27">
        <v>24139</v>
      </c>
      <c r="G10" s="28">
        <v>25000</v>
      </c>
      <c r="H10" s="27">
        <v>25000</v>
      </c>
      <c r="I10" s="27">
        <v>25500</v>
      </c>
      <c r="J10" s="27">
        <v>26000</v>
      </c>
      <c r="K10" s="27">
        <v>26500</v>
      </c>
    </row>
    <row r="11" spans="1:11" ht="18" customHeight="1" x14ac:dyDescent="0.2">
      <c r="B11" s="26" t="s">
        <v>186</v>
      </c>
      <c r="C11" s="27">
        <v>7762</v>
      </c>
      <c r="D11" s="27">
        <v>8589</v>
      </c>
      <c r="E11" s="27">
        <v>8863</v>
      </c>
      <c r="F11" s="27">
        <v>9017</v>
      </c>
      <c r="G11" s="28">
        <v>9500</v>
      </c>
      <c r="H11" s="27">
        <v>9400</v>
      </c>
      <c r="I11" s="27">
        <v>9600</v>
      </c>
      <c r="J11" s="27">
        <v>9800</v>
      </c>
      <c r="K11" s="27">
        <v>10000</v>
      </c>
    </row>
    <row r="12" spans="1:11" ht="18" customHeight="1" x14ac:dyDescent="0.2">
      <c r="B12" s="32" t="s">
        <v>187</v>
      </c>
      <c r="C12" s="49">
        <f t="shared" ref="C12:K12" si="0">C7+C8+C9+C10+C11</f>
        <v>106447</v>
      </c>
      <c r="D12" s="49">
        <f t="shared" si="0"/>
        <v>115988</v>
      </c>
      <c r="E12" s="49">
        <f t="shared" si="0"/>
        <v>133501</v>
      </c>
      <c r="F12" s="49">
        <f t="shared" si="0"/>
        <v>172437</v>
      </c>
      <c r="G12" s="54">
        <f t="shared" si="0"/>
        <v>195236</v>
      </c>
      <c r="H12" s="49">
        <f t="shared" si="0"/>
        <v>201209</v>
      </c>
      <c r="I12" s="49">
        <f t="shared" si="0"/>
        <v>221637</v>
      </c>
      <c r="J12" s="49">
        <f t="shared" si="0"/>
        <v>248295</v>
      </c>
      <c r="K12" s="49">
        <f t="shared" si="0"/>
        <v>280000</v>
      </c>
    </row>
    <row r="13" spans="1:11" ht="19.5" customHeight="1" x14ac:dyDescent="0.2">
      <c r="B13" s="12" t="s">
        <v>188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8" customHeight="1" x14ac:dyDescent="0.2">
      <c r="B14" s="26" t="s">
        <v>189</v>
      </c>
      <c r="C14" s="27">
        <v>73413</v>
      </c>
      <c r="D14" s="27">
        <v>75298</v>
      </c>
      <c r="E14" s="27">
        <v>86763</v>
      </c>
      <c r="F14" s="27">
        <v>101049</v>
      </c>
      <c r="G14" s="28">
        <v>109000</v>
      </c>
      <c r="H14" s="33">
        <f>G14+Assumptions!H35-Assumptions!H29</f>
        <v>115100</v>
      </c>
      <c r="I14" s="33">
        <f>H14+Assumptions!I35-Assumptions!I29</f>
        <v>117600</v>
      </c>
      <c r="J14" s="33">
        <f>I14+Assumptions!J35-Assumptions!J29</f>
        <v>117600</v>
      </c>
      <c r="K14" s="33">
        <f>J14+Assumptions!K35-Assumptions!K29</f>
        <v>117100</v>
      </c>
    </row>
    <row r="15" spans="1:11" ht="18" customHeight="1" x14ac:dyDescent="0.2">
      <c r="B15" s="26" t="s">
        <v>190</v>
      </c>
      <c r="C15" s="27">
        <v>455</v>
      </c>
      <c r="D15" s="27">
        <v>6098</v>
      </c>
      <c r="E15" s="27">
        <v>8447</v>
      </c>
      <c r="F15" s="27">
        <v>7710</v>
      </c>
      <c r="G15" s="28">
        <v>9915</v>
      </c>
      <c r="H15" s="27">
        <v>3500</v>
      </c>
      <c r="I15" s="27">
        <v>3000</v>
      </c>
      <c r="J15" s="27">
        <v>3000</v>
      </c>
      <c r="K15" s="27">
        <v>3000</v>
      </c>
    </row>
    <row r="16" spans="1:11" ht="18" customHeight="1" x14ac:dyDescent="0.2">
      <c r="B16" s="26" t="s">
        <v>191</v>
      </c>
      <c r="C16" s="27">
        <v>9235</v>
      </c>
      <c r="D16" s="27">
        <v>9858</v>
      </c>
      <c r="E16" s="27">
        <v>10123</v>
      </c>
      <c r="F16" s="27">
        <v>10305</v>
      </c>
      <c r="G16" s="28">
        <v>10305</v>
      </c>
      <c r="H16" s="27">
        <v>10305</v>
      </c>
      <c r="I16" s="27">
        <v>10305</v>
      </c>
      <c r="J16" s="27">
        <v>10305</v>
      </c>
      <c r="K16" s="27">
        <v>10305</v>
      </c>
    </row>
    <row r="17" spans="1:11" ht="18" customHeight="1" x14ac:dyDescent="0.2">
      <c r="B17" s="26" t="s">
        <v>192</v>
      </c>
      <c r="C17" s="27">
        <v>8063</v>
      </c>
      <c r="D17" s="27">
        <v>5777</v>
      </c>
      <c r="E17" s="27">
        <v>9895</v>
      </c>
      <c r="F17" s="27">
        <v>24896</v>
      </c>
      <c r="G17" s="28">
        <v>25000</v>
      </c>
      <c r="H17" s="27">
        <v>18000</v>
      </c>
      <c r="I17" s="27">
        <v>16000</v>
      </c>
      <c r="J17" s="27">
        <v>14000</v>
      </c>
      <c r="K17" s="27">
        <v>12000</v>
      </c>
    </row>
    <row r="18" spans="1:11" ht="18" customHeight="1" x14ac:dyDescent="0.2">
      <c r="B18" s="26" t="s">
        <v>193</v>
      </c>
      <c r="C18" s="27">
        <v>17676</v>
      </c>
      <c r="D18" s="27">
        <v>22342</v>
      </c>
      <c r="E18" s="27">
        <v>25149</v>
      </c>
      <c r="F18" s="27">
        <v>30161</v>
      </c>
      <c r="G18" s="28">
        <v>34849</v>
      </c>
      <c r="H18" s="33">
        <f>ROUND(Inc_Statement!H8*Assumptions!H36/365,0)</f>
        <v>40458</v>
      </c>
      <c r="I18" s="33">
        <f>ROUND(Inc_Statement!I8*Assumptions!I36/365,0)</f>
        <v>45289</v>
      </c>
      <c r="J18" s="33">
        <f>ROUND(Inc_Statement!J8*Assumptions!J36/365,0)</f>
        <v>51188</v>
      </c>
      <c r="K18" s="33">
        <f>ROUND(Inc_Statement!K8*Assumptions!K36/365,0)</f>
        <v>56953</v>
      </c>
    </row>
    <row r="19" spans="1:11" ht="18" customHeight="1" x14ac:dyDescent="0.2">
      <c r="B19" s="26" t="s">
        <v>194</v>
      </c>
      <c r="C19" s="27">
        <v>4318</v>
      </c>
      <c r="D19" s="27">
        <v>3902</v>
      </c>
      <c r="E19" s="27">
        <v>4598</v>
      </c>
      <c r="F19" s="27">
        <v>4808</v>
      </c>
      <c r="G19" s="28">
        <v>5200</v>
      </c>
      <c r="H19" s="33">
        <f>ROUND(Inc_Statement!H8*Assumptions!H37/365,0)</f>
        <v>6346</v>
      </c>
      <c r="I19" s="33">
        <f>ROUND(Inc_Statement!I8*Assumptions!I37/365,0)</f>
        <v>7246</v>
      </c>
      <c r="J19" s="33">
        <f>ROUND(Inc_Statement!J8*Assumptions!J37/365,0)</f>
        <v>8190</v>
      </c>
      <c r="K19" s="33">
        <f>ROUND(Inc_Statement!K8*Assumptions!K37/365,0)</f>
        <v>9112</v>
      </c>
    </row>
    <row r="20" spans="1:11" ht="18" customHeight="1" x14ac:dyDescent="0.2">
      <c r="B20" s="26" t="s">
        <v>195</v>
      </c>
      <c r="C20" s="27">
        <v>10359</v>
      </c>
      <c r="D20" s="27">
        <v>7758</v>
      </c>
      <c r="E20" s="27">
        <v>9338</v>
      </c>
      <c r="F20" s="27">
        <v>13602</v>
      </c>
      <c r="G20" s="28">
        <v>21333</v>
      </c>
      <c r="H20" s="27">
        <v>14000</v>
      </c>
      <c r="I20" s="27">
        <v>16500</v>
      </c>
      <c r="J20" s="27">
        <v>19000</v>
      </c>
      <c r="K20" s="27">
        <v>22000</v>
      </c>
    </row>
    <row r="21" spans="1:11" ht="18" customHeight="1" x14ac:dyDescent="0.2">
      <c r="B21" s="26" t="s">
        <v>196</v>
      </c>
      <c r="C21" s="27">
        <v>8541</v>
      </c>
      <c r="D21" s="27">
        <v>13123</v>
      </c>
      <c r="E21" s="27">
        <v>13109</v>
      </c>
      <c r="F21" s="27">
        <v>13912</v>
      </c>
      <c r="G21" s="28">
        <v>17000</v>
      </c>
      <c r="H21" s="27">
        <v>15000</v>
      </c>
      <c r="I21" s="27">
        <v>15500</v>
      </c>
      <c r="J21" s="27">
        <v>16000</v>
      </c>
      <c r="K21" s="27">
        <v>16500</v>
      </c>
    </row>
    <row r="22" spans="1:11" ht="18" customHeight="1" x14ac:dyDescent="0.2">
      <c r="B22" s="34" t="s">
        <v>197</v>
      </c>
      <c r="C22" s="27">
        <v>16318</v>
      </c>
      <c r="D22" s="27">
        <v>19157</v>
      </c>
      <c r="E22" s="27">
        <v>23686</v>
      </c>
      <c r="F22" s="27">
        <v>22405</v>
      </c>
      <c r="G22" s="28">
        <v>25500</v>
      </c>
      <c r="H22" s="33">
        <f>ROUND(Inc_Statement!H8*Assumptions!H38/365,0)</f>
        <v>31732</v>
      </c>
      <c r="I22" s="33">
        <f>ROUND(Inc_Statement!I8*Assumptions!I38/365,0)</f>
        <v>36231</v>
      </c>
      <c r="J22" s="33">
        <f>ROUND(Inc_Statement!J8*Assumptions!J38/365,0)</f>
        <v>40951</v>
      </c>
      <c r="K22" s="33">
        <f>ROUND(Inc_Statement!K8*Assumptions!K38/365,0)</f>
        <v>45562</v>
      </c>
    </row>
    <row r="23" spans="1:11" ht="18" customHeight="1" x14ac:dyDescent="0.2">
      <c r="B23" s="26" t="s">
        <v>198</v>
      </c>
      <c r="C23" s="27">
        <v>11841</v>
      </c>
      <c r="D23" s="27">
        <v>13298</v>
      </c>
      <c r="E23" s="27">
        <v>14709</v>
      </c>
      <c r="F23" s="27">
        <v>16169</v>
      </c>
      <c r="G23" s="28">
        <v>16400</v>
      </c>
      <c r="H23" s="27">
        <v>18000</v>
      </c>
      <c r="I23" s="27">
        <v>18500</v>
      </c>
      <c r="J23" s="27">
        <v>19000</v>
      </c>
      <c r="K23" s="27">
        <v>19500</v>
      </c>
    </row>
    <row r="24" spans="1:11" ht="18" customHeight="1" x14ac:dyDescent="0.2">
      <c r="B24" s="32" t="s">
        <v>199</v>
      </c>
      <c r="C24" s="49">
        <f>C14+C15+C16+C17+C18+C19+C20+C21-C22-C23</f>
        <v>103901</v>
      </c>
      <c r="D24" s="49">
        <f>D14+D15+D16+D17+D18+D19+D20+D21-D22-D23</f>
        <v>111701</v>
      </c>
      <c r="E24" s="49">
        <f>E14+E15+E16+E17+E18+E19+E20+E21-E22-E23</f>
        <v>129027</v>
      </c>
      <c r="F24" s="49">
        <f>F14+F15+F16+F17+F18+F19+F20+F21-F22-F23</f>
        <v>167869</v>
      </c>
      <c r="G24" s="54">
        <f>G14+G15+G16+G17+G18+G19+G20+G21</f>
        <v>232602</v>
      </c>
      <c r="H24" s="49">
        <f>H14+H15+H16+H17+H18+H19+H20+H21-H22-H23</f>
        <v>172977</v>
      </c>
      <c r="I24" s="49">
        <f>I14+I15+I16+I17+I18+I19+I20+I21-I22-I23</f>
        <v>176709</v>
      </c>
      <c r="J24" s="49">
        <f>J14+J15+J16+J17+J18+J19+J20+J21-J22-J23</f>
        <v>179332</v>
      </c>
      <c r="K24" s="49">
        <f>K14+K15+K16+K17+K18+K19+K20+K21-K22-K23</f>
        <v>181908</v>
      </c>
    </row>
    <row r="26" spans="1:11" ht="21.75" customHeight="1" x14ac:dyDescent="0.2">
      <c r="B26" s="12" t="s">
        <v>200</v>
      </c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21.75" customHeight="1" x14ac:dyDescent="0.2">
      <c r="A27" s="23" t="s">
        <v>52</v>
      </c>
      <c r="B27" s="24" t="s">
        <v>53</v>
      </c>
      <c r="C27" s="25" t="s">
        <v>54</v>
      </c>
      <c r="D27" s="25" t="s">
        <v>55</v>
      </c>
      <c r="E27" s="25" t="s">
        <v>56</v>
      </c>
      <c r="F27" s="25" t="s">
        <v>57</v>
      </c>
      <c r="G27" s="24" t="s">
        <v>58</v>
      </c>
      <c r="H27" s="24" t="s">
        <v>59</v>
      </c>
      <c r="I27" s="24" t="s">
        <v>60</v>
      </c>
      <c r="J27" s="24" t="s">
        <v>61</v>
      </c>
      <c r="K27" s="24" t="s">
        <v>62</v>
      </c>
    </row>
    <row r="28" spans="1:11" ht="19.5" customHeight="1" x14ac:dyDescent="0.2">
      <c r="B28" s="12" t="s">
        <v>201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18" customHeight="1" x14ac:dyDescent="0.2">
      <c r="B29" s="46" t="s">
        <v>195</v>
      </c>
      <c r="C29" s="40">
        <f>Bal_Sheet!C20</f>
        <v>10359</v>
      </c>
      <c r="D29" s="40">
        <f>Bal_Sheet!D20</f>
        <v>7758</v>
      </c>
      <c r="E29" s="40">
        <f>Bal_Sheet!E20</f>
        <v>9338</v>
      </c>
      <c r="F29" s="40">
        <f>Bal_Sheet!F20</f>
        <v>13602</v>
      </c>
      <c r="G29" s="40">
        <f>Bal_Sheet!G20</f>
        <v>21333</v>
      </c>
      <c r="H29" s="40">
        <f>Bal_Sheet!H20</f>
        <v>14000</v>
      </c>
      <c r="I29" s="40">
        <f>Bal_Sheet!I20</f>
        <v>16500</v>
      </c>
      <c r="J29" s="40">
        <f>Bal_Sheet!J20</f>
        <v>19000</v>
      </c>
      <c r="K29" s="40">
        <f>Bal_Sheet!K20</f>
        <v>22000</v>
      </c>
    </row>
    <row r="30" spans="1:11" ht="18" customHeight="1" x14ac:dyDescent="0.2">
      <c r="B30" s="46" t="s">
        <v>193</v>
      </c>
      <c r="C30" s="40">
        <f>Bal_Sheet!C18</f>
        <v>17676</v>
      </c>
      <c r="D30" s="40">
        <f>Bal_Sheet!D18</f>
        <v>22342</v>
      </c>
      <c r="E30" s="40">
        <f>Bal_Sheet!E18</f>
        <v>25149</v>
      </c>
      <c r="F30" s="40">
        <f>Bal_Sheet!F18</f>
        <v>30161</v>
      </c>
      <c r="G30" s="40">
        <f>Bal_Sheet!G18</f>
        <v>34849</v>
      </c>
      <c r="H30" s="40">
        <f>Bal_Sheet!H18</f>
        <v>40458</v>
      </c>
      <c r="I30" s="40">
        <f>Bal_Sheet!I18</f>
        <v>45289</v>
      </c>
      <c r="J30" s="40">
        <f>Bal_Sheet!J18</f>
        <v>51188</v>
      </c>
      <c r="K30" s="40">
        <f>Bal_Sheet!K18</f>
        <v>56953</v>
      </c>
    </row>
    <row r="31" spans="1:11" ht="18" customHeight="1" x14ac:dyDescent="0.2">
      <c r="B31" s="46" t="s">
        <v>194</v>
      </c>
      <c r="C31" s="40">
        <f>Bal_Sheet!C19</f>
        <v>4318</v>
      </c>
      <c r="D31" s="40">
        <f>Bal_Sheet!D19</f>
        <v>3902</v>
      </c>
      <c r="E31" s="40">
        <f>Bal_Sheet!E19</f>
        <v>4598</v>
      </c>
      <c r="F31" s="40">
        <f>Bal_Sheet!F19</f>
        <v>4808</v>
      </c>
      <c r="G31" s="40">
        <f>Bal_Sheet!G19</f>
        <v>5200</v>
      </c>
      <c r="H31" s="40">
        <f>Bal_Sheet!H19</f>
        <v>6346</v>
      </c>
      <c r="I31" s="40">
        <f>Bal_Sheet!I19</f>
        <v>7246</v>
      </c>
      <c r="J31" s="40">
        <f>Bal_Sheet!J19</f>
        <v>8190</v>
      </c>
      <c r="K31" s="40">
        <f>Bal_Sheet!K19</f>
        <v>9112</v>
      </c>
    </row>
    <row r="32" spans="1:11" ht="18" customHeight="1" x14ac:dyDescent="0.2">
      <c r="B32" s="46" t="s">
        <v>196</v>
      </c>
      <c r="C32" s="40">
        <f>Bal_Sheet!C21</f>
        <v>8541</v>
      </c>
      <c r="D32" s="40">
        <f>Bal_Sheet!D21</f>
        <v>13123</v>
      </c>
      <c r="E32" s="40">
        <f>Bal_Sheet!E21</f>
        <v>13109</v>
      </c>
      <c r="F32" s="40">
        <f>Bal_Sheet!F21</f>
        <v>13912</v>
      </c>
      <c r="G32" s="40">
        <f>Bal_Sheet!G21</f>
        <v>17000</v>
      </c>
      <c r="H32" s="40">
        <f>Bal_Sheet!H21</f>
        <v>15000</v>
      </c>
      <c r="I32" s="40">
        <f>Bal_Sheet!I21</f>
        <v>15500</v>
      </c>
      <c r="J32" s="40">
        <f>Bal_Sheet!J21</f>
        <v>16000</v>
      </c>
      <c r="K32" s="40">
        <f>Bal_Sheet!K21</f>
        <v>16500</v>
      </c>
    </row>
    <row r="33" spans="2:11" ht="19.5" customHeight="1" x14ac:dyDescent="0.2">
      <c r="B33" s="32" t="s">
        <v>202</v>
      </c>
      <c r="C33" s="49">
        <f t="shared" ref="C33:K33" si="1">C29+C30+C31+C32</f>
        <v>40894</v>
      </c>
      <c r="D33" s="49">
        <f t="shared" si="1"/>
        <v>47125</v>
      </c>
      <c r="E33" s="49">
        <f t="shared" si="1"/>
        <v>52194</v>
      </c>
      <c r="F33" s="49">
        <f t="shared" si="1"/>
        <v>62483</v>
      </c>
      <c r="G33" s="49">
        <f t="shared" si="1"/>
        <v>78382</v>
      </c>
      <c r="H33" s="49">
        <f t="shared" si="1"/>
        <v>75804</v>
      </c>
      <c r="I33" s="49">
        <f t="shared" si="1"/>
        <v>84535</v>
      </c>
      <c r="J33" s="49">
        <f t="shared" si="1"/>
        <v>94378</v>
      </c>
      <c r="K33" s="49">
        <f t="shared" si="1"/>
        <v>104565</v>
      </c>
    </row>
    <row r="34" spans="2:11" ht="19.5" customHeight="1" x14ac:dyDescent="0.2">
      <c r="B34" s="12" t="s">
        <v>203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2:11" ht="18" customHeight="1" x14ac:dyDescent="0.2">
      <c r="B35" s="46" t="s">
        <v>204</v>
      </c>
      <c r="C35" s="40">
        <f>Bal_Sheet!C22</f>
        <v>16318</v>
      </c>
      <c r="D35" s="40">
        <f>Bal_Sheet!D22</f>
        <v>19157</v>
      </c>
      <c r="E35" s="40">
        <f>Bal_Sheet!E22</f>
        <v>23686</v>
      </c>
      <c r="F35" s="40">
        <f>Bal_Sheet!F22</f>
        <v>22405</v>
      </c>
      <c r="G35" s="40">
        <f>Bal_Sheet!G22</f>
        <v>25500</v>
      </c>
      <c r="H35" s="40">
        <f>Bal_Sheet!H22</f>
        <v>31732</v>
      </c>
      <c r="I35" s="40">
        <f>Bal_Sheet!I22</f>
        <v>36231</v>
      </c>
      <c r="J35" s="40">
        <f>Bal_Sheet!J22</f>
        <v>40951</v>
      </c>
      <c r="K35" s="40">
        <f>Bal_Sheet!K22</f>
        <v>45562</v>
      </c>
    </row>
    <row r="36" spans="2:11" ht="18" customHeight="1" x14ac:dyDescent="0.2">
      <c r="B36" s="46" t="s">
        <v>205</v>
      </c>
      <c r="C36" s="40">
        <f>Bal_Sheet!C23</f>
        <v>11841</v>
      </c>
      <c r="D36" s="40">
        <f>Bal_Sheet!D23</f>
        <v>13298</v>
      </c>
      <c r="E36" s="40">
        <f>Bal_Sheet!E23</f>
        <v>14709</v>
      </c>
      <c r="F36" s="40">
        <f>Bal_Sheet!F23</f>
        <v>16169</v>
      </c>
      <c r="G36" s="40">
        <f>Bal_Sheet!G23</f>
        <v>16400</v>
      </c>
      <c r="H36" s="40">
        <f>Bal_Sheet!H23</f>
        <v>18000</v>
      </c>
      <c r="I36" s="40">
        <f>Bal_Sheet!I23</f>
        <v>18500</v>
      </c>
      <c r="J36" s="40">
        <f>Bal_Sheet!J23</f>
        <v>19000</v>
      </c>
      <c r="K36" s="40">
        <f>Bal_Sheet!K23</f>
        <v>19500</v>
      </c>
    </row>
    <row r="37" spans="2:11" ht="19.5" customHeight="1" x14ac:dyDescent="0.2">
      <c r="B37" s="32" t="s">
        <v>206</v>
      </c>
      <c r="C37" s="49">
        <f t="shared" ref="C37:K37" si="2">C35+C36</f>
        <v>28159</v>
      </c>
      <c r="D37" s="49">
        <f t="shared" si="2"/>
        <v>32455</v>
      </c>
      <c r="E37" s="49">
        <f t="shared" si="2"/>
        <v>38395</v>
      </c>
      <c r="F37" s="49">
        <f t="shared" si="2"/>
        <v>38574</v>
      </c>
      <c r="G37" s="49">
        <f t="shared" si="2"/>
        <v>41900</v>
      </c>
      <c r="H37" s="49">
        <f t="shared" si="2"/>
        <v>49732</v>
      </c>
      <c r="I37" s="49">
        <f t="shared" si="2"/>
        <v>54731</v>
      </c>
      <c r="J37" s="49">
        <f t="shared" si="2"/>
        <v>59951</v>
      </c>
      <c r="K37" s="49">
        <f t="shared" si="2"/>
        <v>65062</v>
      </c>
    </row>
    <row r="38" spans="2:11" ht="21.75" customHeight="1" x14ac:dyDescent="0.2">
      <c r="B38" s="15" t="s">
        <v>207</v>
      </c>
      <c r="C38" s="49">
        <f>Bal_Sheet!C18+Bal_Sheet!C19-Bal_Sheet!C22-Bal_Sheet!C23</f>
        <v>-6165</v>
      </c>
      <c r="D38" s="49">
        <f>Bal_Sheet!D18+Bal_Sheet!D19-Bal_Sheet!D22-Bal_Sheet!D23</f>
        <v>-6211</v>
      </c>
      <c r="E38" s="49">
        <f>Bal_Sheet!E18+Bal_Sheet!E19-Bal_Sheet!E22-Bal_Sheet!E23</f>
        <v>-8648</v>
      </c>
      <c r="F38" s="49">
        <f>Bal_Sheet!F18+Bal_Sheet!F19-Bal_Sheet!F22-Bal_Sheet!F23</f>
        <v>-3605</v>
      </c>
      <c r="G38" s="49">
        <f>Bal_Sheet!G18+Bal_Sheet!G19-Bal_Sheet!G22-Bal_Sheet!G23</f>
        <v>-1851</v>
      </c>
      <c r="H38" s="49">
        <f>Bal_Sheet!H18+Bal_Sheet!H19-Bal_Sheet!H22-Bal_Sheet!H23</f>
        <v>-2928</v>
      </c>
      <c r="I38" s="49">
        <f>Bal_Sheet!I18+Bal_Sheet!I19-Bal_Sheet!I22-Bal_Sheet!I23</f>
        <v>-2196</v>
      </c>
      <c r="J38" s="49">
        <f>Bal_Sheet!J18+Bal_Sheet!J19-Bal_Sheet!J22-Bal_Sheet!J23</f>
        <v>-573</v>
      </c>
      <c r="K38" s="49">
        <f>Bal_Sheet!K18+Bal_Sheet!K19-Bal_Sheet!K22-Bal_Sheet!K23</f>
        <v>1003</v>
      </c>
    </row>
    <row r="39" spans="2:11" ht="18" customHeight="1" x14ac:dyDescent="0.2">
      <c r="B39" s="35" t="s">
        <v>208</v>
      </c>
      <c r="C39" s="55">
        <f t="shared" ref="C39:K39" si="3">C33-C37</f>
        <v>12735</v>
      </c>
      <c r="D39" s="55">
        <f t="shared" si="3"/>
        <v>14670</v>
      </c>
      <c r="E39" s="55">
        <f t="shared" si="3"/>
        <v>13799</v>
      </c>
      <c r="F39" s="55">
        <f t="shared" si="3"/>
        <v>23909</v>
      </c>
      <c r="G39" s="55">
        <f t="shared" si="3"/>
        <v>36482</v>
      </c>
      <c r="H39" s="55">
        <f t="shared" si="3"/>
        <v>26072</v>
      </c>
      <c r="I39" s="55">
        <f t="shared" si="3"/>
        <v>29804</v>
      </c>
      <c r="J39" s="55">
        <f t="shared" si="3"/>
        <v>34427</v>
      </c>
      <c r="K39" s="55">
        <f t="shared" si="3"/>
        <v>39503</v>
      </c>
    </row>
    <row r="40" spans="2:11" ht="18" customHeight="1" x14ac:dyDescent="0.2">
      <c r="B40" s="35" t="s">
        <v>209</v>
      </c>
      <c r="C40" s="36">
        <f>IF(Inc_Statement!C8=0,"",C38/Inc_Statement!C8)</f>
        <v>-4.204574904859984E-2</v>
      </c>
      <c r="D40" s="36">
        <f>IF(Inc_Statement!D8=0,"",D38/Inc_Statement!D8)</f>
        <v>-3.7387734463412869E-2</v>
      </c>
      <c r="E40" s="36">
        <f>IF(Inc_Statement!E8=0,"",E38/Inc_Statement!E8)</f>
        <v>-4.5382508212722633E-2</v>
      </c>
      <c r="F40" s="36">
        <f>IF(Inc_Statement!F8=0,"",F38/Inc_Statement!F8)</f>
        <v>-1.654124988528953E-2</v>
      </c>
      <c r="G40" s="36">
        <f>IF(Inc_Statement!G8=0,"",G38/Inc_Statement!G8)</f>
        <v>-7.3369403650633208E-3</v>
      </c>
      <c r="H40" s="36">
        <f>IF(Inc_Statement!H8=0,"",H38/Inc_Statement!H8)</f>
        <v>-1.0112243135900536E-2</v>
      </c>
      <c r="I40" s="36">
        <f>IF(Inc_Statement!I8=0,"",I38/Inc_Statement!I8)</f>
        <v>-6.6422874150431476E-3</v>
      </c>
      <c r="J40" s="36">
        <f>IF(Inc_Statement!J8=0,"",J38/Inc_Statement!J8)</f>
        <v>-1.5334139736028003E-3</v>
      </c>
      <c r="K40" s="36">
        <f>IF(Inc_Statement!K8=0,"",K38/Inc_Statement!K8)</f>
        <v>2.4124727003338496E-3</v>
      </c>
    </row>
    <row r="41" spans="2:11" ht="30" customHeight="1" x14ac:dyDescent="0.2">
      <c r="B41" s="5" t="s">
        <v>210</v>
      </c>
      <c r="C41" s="5"/>
      <c r="D41" s="5"/>
      <c r="E41" s="5"/>
      <c r="F41" s="5"/>
      <c r="G41" s="5"/>
      <c r="H41" s="5"/>
      <c r="I41" s="5"/>
      <c r="J41" s="5"/>
      <c r="K41" s="5"/>
    </row>
  </sheetData>
  <mergeCells count="8">
    <mergeCell ref="B28:K28"/>
    <mergeCell ref="B34:K34"/>
    <mergeCell ref="B41:K41"/>
    <mergeCell ref="B1:K1"/>
    <mergeCell ref="B2:K2"/>
    <mergeCell ref="B4:K4"/>
    <mergeCell ref="B13:K13"/>
    <mergeCell ref="B26:K26"/>
  </mergeCells>
  <pageMargins left="0.75" right="0.7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K2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11" width="13" customWidth="1"/>
  </cols>
  <sheetData>
    <row r="1" spans="1:11" ht="27.75" customHeight="1" x14ac:dyDescent="0.2">
      <c r="B1" s="14" t="s">
        <v>211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212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213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26" t="s">
        <v>214</v>
      </c>
      <c r="C5" s="40">
        <f>Inc_Statement!C26</f>
        <v>10557</v>
      </c>
      <c r="D5" s="40">
        <f>Inc_Statement!D26</f>
        <v>8190</v>
      </c>
      <c r="E5" s="40">
        <f>Inc_Statement!E26</f>
        <v>8986</v>
      </c>
      <c r="F5" s="40">
        <f>Inc_Statement!F26</f>
        <v>14459</v>
      </c>
      <c r="G5" s="28">
        <v>20027</v>
      </c>
      <c r="H5" s="40">
        <f>Inc_Statement!H26</f>
        <v>20378</v>
      </c>
      <c r="I5" s="40">
        <f>Inc_Statement!I26</f>
        <v>25448</v>
      </c>
      <c r="J5" s="40">
        <f>Inc_Statement!J26</f>
        <v>30678</v>
      </c>
      <c r="K5" s="40">
        <f>Inc_Statement!K26</f>
        <v>35725</v>
      </c>
    </row>
    <row r="6" spans="1:11" ht="18" customHeight="1" x14ac:dyDescent="0.2">
      <c r="B6" s="26" t="s">
        <v>215</v>
      </c>
      <c r="C6" s="40">
        <f>Assumptions!C29</f>
        <v>6007</v>
      </c>
      <c r="D6" s="40">
        <f>Assumptions!D29</f>
        <v>6152</v>
      </c>
      <c r="E6" s="40">
        <f>Assumptions!E29</f>
        <v>6870</v>
      </c>
      <c r="F6" s="40">
        <f>Assumptions!F29</f>
        <v>7575</v>
      </c>
      <c r="G6" s="28">
        <v>8761</v>
      </c>
      <c r="H6" s="40">
        <f>Assumptions!H29</f>
        <v>8900</v>
      </c>
      <c r="I6" s="40">
        <f>Assumptions!I29</f>
        <v>9500</v>
      </c>
      <c r="J6" s="40">
        <f>Assumptions!J29</f>
        <v>10000</v>
      </c>
      <c r="K6" s="40">
        <f>Assumptions!K29</f>
        <v>10500</v>
      </c>
    </row>
    <row r="7" spans="1:11" ht="18" customHeight="1" x14ac:dyDescent="0.2">
      <c r="B7" s="26" t="s">
        <v>216</v>
      </c>
      <c r="C7" s="40">
        <f>Assumptions!C30</f>
        <v>3786</v>
      </c>
      <c r="D7" s="40">
        <f>Assumptions!D30</f>
        <v>3808</v>
      </c>
      <c r="E7" s="40">
        <f>Assumptions!E30</f>
        <v>4494</v>
      </c>
      <c r="F7" s="40">
        <f>Assumptions!F30</f>
        <v>4585</v>
      </c>
      <c r="G7" s="28">
        <v>4496</v>
      </c>
      <c r="H7" s="40">
        <f>Assumptions!H30</f>
        <v>4200</v>
      </c>
      <c r="I7" s="40">
        <f>Assumptions!I30</f>
        <v>4000</v>
      </c>
      <c r="J7" s="40">
        <f>Assumptions!J30</f>
        <v>3800</v>
      </c>
      <c r="K7" s="40">
        <f>Assumptions!K30</f>
        <v>3600</v>
      </c>
    </row>
    <row r="8" spans="1:11" ht="18" customHeight="1" x14ac:dyDescent="0.2">
      <c r="B8" s="26" t="s">
        <v>217</v>
      </c>
      <c r="C8" s="27">
        <v>-4630</v>
      </c>
      <c r="D8" s="27">
        <v>-4500</v>
      </c>
      <c r="E8" s="27">
        <v>-1928</v>
      </c>
      <c r="F8" s="27">
        <v>-6039</v>
      </c>
      <c r="G8" s="28">
        <v>-5700</v>
      </c>
      <c r="H8" s="33">
        <f>-(Bal_Sheet!H18-Bal_Sheet!G18)+(Bal_Sheet!H22-Bal_Sheet!G22)-(Bal_Sheet!H19-Bal_Sheet!G19)</f>
        <v>-523</v>
      </c>
      <c r="I8" s="33">
        <f>-(Bal_Sheet!I18-Bal_Sheet!H18)+(Bal_Sheet!I22-Bal_Sheet!H22)-(Bal_Sheet!I19-Bal_Sheet!H19)</f>
        <v>-1232</v>
      </c>
      <c r="J8" s="33">
        <f>-(Bal_Sheet!J18-Bal_Sheet!I18)+(Bal_Sheet!J22-Bal_Sheet!I22)-(Bal_Sheet!J19-Bal_Sheet!I19)</f>
        <v>-2123</v>
      </c>
      <c r="K8" s="33">
        <f>-(Bal_Sheet!K18-Bal_Sheet!J18)+(Bal_Sheet!K22-Bal_Sheet!J22)-(Bal_Sheet!K19-Bal_Sheet!J19)</f>
        <v>-2076</v>
      </c>
    </row>
    <row r="9" spans="1:11" ht="18" customHeight="1" x14ac:dyDescent="0.2">
      <c r="B9" s="26" t="s">
        <v>218</v>
      </c>
      <c r="C9" s="40">
        <f>-Assumptions!C32*MAX(Inc_Statement!C23,0)</f>
        <v>-4765.8620000000001</v>
      </c>
      <c r="D9" s="40">
        <f>-Assumptions!D32*MAX(Inc_Statement!D23,0)</f>
        <v>-2562.3360000000002</v>
      </c>
      <c r="E9" s="40">
        <f>-Assumptions!E32*MAX(Inc_Statement!E23,0)</f>
        <v>-4455.375</v>
      </c>
      <c r="F9" s="40">
        <f>-Assumptions!F32*MAX(Inc_Statement!F23,0)</f>
        <v>-5336.2260000000006</v>
      </c>
      <c r="G9" s="28">
        <v>-6582</v>
      </c>
      <c r="H9" s="40">
        <f>-Assumptions!H32*MAX(Inc_Statement!H23,0)</f>
        <v>-7648.02</v>
      </c>
      <c r="I9" s="40">
        <f>-Assumptions!I32*MAX(Inc_Statement!I23,0)</f>
        <v>-9530.4600000000009</v>
      </c>
      <c r="J9" s="40">
        <f>-Assumptions!J32*MAX(Inc_Statement!J23,0)</f>
        <v>-11472.300000000001</v>
      </c>
      <c r="K9" s="40">
        <f>-Assumptions!K32*MAX(Inc_Statement!K23,0)</f>
        <v>-13346.37</v>
      </c>
    </row>
    <row r="10" spans="1:11" ht="21.75" customHeight="1" x14ac:dyDescent="0.2">
      <c r="B10" s="15" t="s">
        <v>219</v>
      </c>
      <c r="C10" s="56">
        <v>16156</v>
      </c>
      <c r="D10" s="56">
        <v>13771</v>
      </c>
      <c r="E10" s="56">
        <v>19202</v>
      </c>
      <c r="F10" s="56">
        <v>21364</v>
      </c>
      <c r="G10" s="48">
        <v>28557</v>
      </c>
      <c r="H10" s="49">
        <f>H5+H6+H7+H8+H9</f>
        <v>25306.98</v>
      </c>
      <c r="I10" s="49">
        <f>I5+I6+I7+I8+I9</f>
        <v>28185.54</v>
      </c>
      <c r="J10" s="49">
        <f>J5+J6+J7+J8+J9</f>
        <v>30882.699999999997</v>
      </c>
      <c r="K10" s="49">
        <f>K5+K6+K7+K8+K9</f>
        <v>34402.629999999997</v>
      </c>
    </row>
    <row r="11" spans="1:11" ht="19.5" customHeight="1" x14ac:dyDescent="0.2">
      <c r="B11" s="12" t="s">
        <v>220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8" customHeight="1" x14ac:dyDescent="0.2">
      <c r="B12" s="26" t="s">
        <v>221</v>
      </c>
      <c r="C12" s="40">
        <f>-Assumptions!C35</f>
        <v>-6518</v>
      </c>
      <c r="D12" s="40">
        <f>-Assumptions!D35</f>
        <v>-11285</v>
      </c>
      <c r="E12" s="40">
        <f>-Assumptions!E35</f>
        <v>-11349</v>
      </c>
      <c r="F12" s="40">
        <f>-Assumptions!F35</f>
        <v>-16978</v>
      </c>
      <c r="G12" s="28">
        <v>-19620</v>
      </c>
      <c r="H12" s="40">
        <f>-Assumptions!H35</f>
        <v>-15000</v>
      </c>
      <c r="I12" s="40">
        <f>-Assumptions!I35</f>
        <v>-12000</v>
      </c>
      <c r="J12" s="40">
        <f>-Assumptions!J35</f>
        <v>-10000</v>
      </c>
      <c r="K12" s="40">
        <f>-Assumptions!K35</f>
        <v>-10000</v>
      </c>
    </row>
    <row r="13" spans="1:11" ht="18" customHeight="1" x14ac:dyDescent="0.2">
      <c r="B13" s="26" t="s">
        <v>222</v>
      </c>
      <c r="C13" s="27">
        <v>-1389</v>
      </c>
      <c r="D13" s="27">
        <v>-3421</v>
      </c>
      <c r="E13" s="27">
        <v>-4023</v>
      </c>
      <c r="F13" s="27">
        <v>-16828</v>
      </c>
      <c r="G13" s="28">
        <v>-1862</v>
      </c>
      <c r="H13" s="27">
        <v>-1500</v>
      </c>
      <c r="I13" s="27">
        <v>-1500</v>
      </c>
      <c r="J13" s="27">
        <v>-1500</v>
      </c>
      <c r="K13" s="27">
        <v>-1500</v>
      </c>
    </row>
    <row r="14" spans="1:11" ht="19.5" customHeight="1" x14ac:dyDescent="0.2">
      <c r="B14" s="15" t="s">
        <v>223</v>
      </c>
      <c r="C14" s="49">
        <f>C12+C13</f>
        <v>-7907</v>
      </c>
      <c r="D14" s="49">
        <f>D12+D13</f>
        <v>-14706</v>
      </c>
      <c r="E14" s="49">
        <f>E12+E13</f>
        <v>-15372</v>
      </c>
      <c r="F14" s="49">
        <f>F12+F13</f>
        <v>-33806</v>
      </c>
      <c r="G14" s="48">
        <v>-21482</v>
      </c>
      <c r="H14" s="49">
        <f>H12+H13</f>
        <v>-16500</v>
      </c>
      <c r="I14" s="49">
        <f>I12+I13</f>
        <v>-13500</v>
      </c>
      <c r="J14" s="49">
        <f>J12+J13</f>
        <v>-11500</v>
      </c>
      <c r="K14" s="49">
        <f>K12+K13</f>
        <v>-11500</v>
      </c>
    </row>
    <row r="15" spans="1:11" ht="19.5" customHeight="1" x14ac:dyDescent="0.2">
      <c r="B15" s="12" t="s">
        <v>224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8" customHeight="1" x14ac:dyDescent="0.2">
      <c r="B16" s="26" t="s">
        <v>225</v>
      </c>
      <c r="C16" s="27">
        <v>-2866</v>
      </c>
      <c r="D16" s="27">
        <v>688</v>
      </c>
      <c r="E16" s="27">
        <v>2246</v>
      </c>
      <c r="F16" s="27">
        <v>18525</v>
      </c>
      <c r="G16" s="28">
        <v>3809</v>
      </c>
      <c r="H16" s="27">
        <v>-5000</v>
      </c>
      <c r="I16" s="27">
        <v>-5000</v>
      </c>
      <c r="J16" s="27">
        <v>-4000</v>
      </c>
      <c r="K16" s="27">
        <v>-4000</v>
      </c>
    </row>
    <row r="17" spans="2:11" ht="18" customHeight="1" x14ac:dyDescent="0.2">
      <c r="B17" s="26" t="s">
        <v>226</v>
      </c>
      <c r="C17" s="27">
        <v>-3764</v>
      </c>
      <c r="D17" s="27">
        <v>-2514</v>
      </c>
      <c r="E17" s="27">
        <v>-3029</v>
      </c>
      <c r="F17" s="27">
        <v>-3018</v>
      </c>
      <c r="G17" s="28">
        <v>-4466</v>
      </c>
      <c r="H17" s="33">
        <f>-Assumptions!H30</f>
        <v>-4200</v>
      </c>
      <c r="I17" s="33">
        <f>-Assumptions!I30</f>
        <v>-4000</v>
      </c>
      <c r="J17" s="33">
        <f>-Assumptions!J30</f>
        <v>-3800</v>
      </c>
      <c r="K17" s="33">
        <f>-Assumptions!K30</f>
        <v>-3600</v>
      </c>
    </row>
    <row r="18" spans="2:11" ht="18" customHeight="1" x14ac:dyDescent="0.2">
      <c r="B18" s="26" t="s">
        <v>227</v>
      </c>
      <c r="C18" s="27">
        <v>-433</v>
      </c>
      <c r="D18" s="27">
        <v>-2579</v>
      </c>
      <c r="E18" s="27">
        <v>-2209</v>
      </c>
      <c r="F18" s="27">
        <v>-2784</v>
      </c>
      <c r="G18" s="28">
        <v>-2876</v>
      </c>
      <c r="H18" s="27">
        <v>-720</v>
      </c>
      <c r="I18" s="27">
        <v>-720</v>
      </c>
      <c r="J18" s="27">
        <v>-720</v>
      </c>
      <c r="K18" s="27">
        <v>-720</v>
      </c>
    </row>
    <row r="19" spans="2:11" ht="19.5" customHeight="1" x14ac:dyDescent="0.2">
      <c r="B19" s="15" t="s">
        <v>228</v>
      </c>
      <c r="C19" s="49">
        <f>C16+C17+C18</f>
        <v>-7063</v>
      </c>
      <c r="D19" s="49">
        <f>D16+D17+D18</f>
        <v>-4405</v>
      </c>
      <c r="E19" s="49">
        <f>E16+E17+E18</f>
        <v>-2992</v>
      </c>
      <c r="F19" s="49">
        <f>F16+F17+F18</f>
        <v>12723</v>
      </c>
      <c r="G19" s="48">
        <v>-3533</v>
      </c>
      <c r="H19" s="49">
        <f>H16+H17+H18</f>
        <v>-9920</v>
      </c>
      <c r="I19" s="49">
        <f>I16+I17+I18</f>
        <v>-9720</v>
      </c>
      <c r="J19" s="49">
        <f>J16+J17+J18</f>
        <v>-8520</v>
      </c>
      <c r="K19" s="49">
        <f>K16+K17+K18</f>
        <v>-8320</v>
      </c>
    </row>
    <row r="20" spans="2:11" ht="19.5" customHeight="1" x14ac:dyDescent="0.2">
      <c r="B20" s="12" t="s">
        <v>229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2:11" ht="19.5" customHeight="1" x14ac:dyDescent="0.2">
      <c r="B21" s="15" t="s">
        <v>230</v>
      </c>
      <c r="C21" s="49">
        <f t="shared" ref="C21:K21" si="0">C10+C14+C19</f>
        <v>1186</v>
      </c>
      <c r="D21" s="49">
        <f t="shared" si="0"/>
        <v>-5340</v>
      </c>
      <c r="E21" s="49">
        <f t="shared" si="0"/>
        <v>838</v>
      </c>
      <c r="F21" s="49">
        <f t="shared" si="0"/>
        <v>281</v>
      </c>
      <c r="G21" s="54">
        <f t="shared" si="0"/>
        <v>3542</v>
      </c>
      <c r="H21" s="49">
        <f t="shared" si="0"/>
        <v>-1113.0200000000004</v>
      </c>
      <c r="I21" s="49">
        <f t="shared" si="0"/>
        <v>4965.5400000000009</v>
      </c>
      <c r="J21" s="49">
        <f t="shared" si="0"/>
        <v>10862.699999999997</v>
      </c>
      <c r="K21" s="49">
        <f t="shared" si="0"/>
        <v>14582.629999999997</v>
      </c>
    </row>
    <row r="22" spans="2:11" ht="21.75" customHeight="1" x14ac:dyDescent="0.2">
      <c r="B22" s="15" t="s">
        <v>231</v>
      </c>
      <c r="C22" s="49">
        <f>C10+C12</f>
        <v>9638</v>
      </c>
      <c r="D22" s="49">
        <f>D10+D12</f>
        <v>2486</v>
      </c>
      <c r="E22" s="49">
        <f>E10+E12</f>
        <v>7853</v>
      </c>
      <c r="F22" s="49">
        <f>F10+F12</f>
        <v>4386</v>
      </c>
      <c r="G22" s="48">
        <v>8937</v>
      </c>
      <c r="H22" s="49">
        <f>H10+H12</f>
        <v>10306.98</v>
      </c>
      <c r="I22" s="49">
        <f>I10+I12</f>
        <v>16185.54</v>
      </c>
      <c r="J22" s="49">
        <f>J10+J12</f>
        <v>20882.699999999997</v>
      </c>
      <c r="K22" s="49">
        <f>K10+K12</f>
        <v>24402.629999999997</v>
      </c>
    </row>
    <row r="23" spans="2:11" ht="18" customHeight="1" x14ac:dyDescent="0.2">
      <c r="B23" s="34" t="s">
        <v>232</v>
      </c>
      <c r="C23" s="44">
        <f t="shared" ref="C23:K23" si="1">IF(C22=0,"",C22/1098013)</f>
        <v>8.7776738526775186E-3</v>
      </c>
      <c r="D23" s="44">
        <f t="shared" si="1"/>
        <v>2.2640897694289593E-3</v>
      </c>
      <c r="E23" s="44">
        <f t="shared" si="1"/>
        <v>7.1520100399539892E-3</v>
      </c>
      <c r="F23" s="44">
        <f t="shared" si="1"/>
        <v>3.9944882255492425E-3</v>
      </c>
      <c r="G23" s="57">
        <f t="shared" si="1"/>
        <v>8.1392478959720869E-3</v>
      </c>
      <c r="H23" s="44">
        <f t="shared" si="1"/>
        <v>9.386938041717174E-3</v>
      </c>
      <c r="I23" s="44">
        <f t="shared" si="1"/>
        <v>1.4740754435512149E-2</v>
      </c>
      <c r="J23" s="44">
        <f t="shared" si="1"/>
        <v>1.9018627284012119E-2</v>
      </c>
      <c r="K23" s="44">
        <f t="shared" si="1"/>
        <v>2.2224354356460259E-2</v>
      </c>
    </row>
  </sheetData>
  <mergeCells count="6">
    <mergeCell ref="B20:K20"/>
    <mergeCell ref="B1:K1"/>
    <mergeCell ref="B2:K2"/>
    <mergeCell ref="B4:K4"/>
    <mergeCell ref="B11:K11"/>
    <mergeCell ref="B15:K15"/>
  </mergeCells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B1:K44"/>
  <sheetViews>
    <sheetView zoomScale="83" zoomScaleNormal="83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A2" sqref="A2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11" width="16" customWidth="1"/>
  </cols>
  <sheetData>
    <row r="1" spans="2:11" ht="27.75" customHeight="1" x14ac:dyDescent="0.2">
      <c r="B1" s="14" t="s">
        <v>233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customHeight="1" x14ac:dyDescent="0.2">
      <c r="B2" s="13" t="s">
        <v>234</v>
      </c>
      <c r="C2" s="13"/>
      <c r="D2" s="13"/>
      <c r="E2" s="13"/>
      <c r="F2" s="13"/>
      <c r="G2" s="13"/>
      <c r="H2" s="13"/>
      <c r="I2" s="13"/>
      <c r="J2" s="13"/>
      <c r="K2" s="13"/>
    </row>
    <row r="4" spans="2:11" ht="19.5" customHeight="1" x14ac:dyDescent="0.2">
      <c r="B4" s="12" t="s">
        <v>235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21.75" customHeight="1" x14ac:dyDescent="0.2">
      <c r="B5" s="58" t="s">
        <v>236</v>
      </c>
      <c r="C5" s="25" t="s">
        <v>237</v>
      </c>
      <c r="D5" s="25" t="s">
        <v>238</v>
      </c>
      <c r="E5" s="25" t="s">
        <v>239</v>
      </c>
      <c r="F5" s="25" t="s">
        <v>240</v>
      </c>
      <c r="G5" s="25" t="s">
        <v>241</v>
      </c>
      <c r="H5" s="25" t="s">
        <v>242</v>
      </c>
      <c r="I5" s="25" t="s">
        <v>243</v>
      </c>
    </row>
    <row r="6" spans="2:11" ht="18" customHeight="1" x14ac:dyDescent="0.2">
      <c r="B6" s="59" t="s">
        <v>244</v>
      </c>
      <c r="C6" s="39">
        <v>34.1</v>
      </c>
      <c r="D6" s="39">
        <v>29</v>
      </c>
      <c r="E6" s="39">
        <v>68.5</v>
      </c>
      <c r="F6" s="39">
        <v>56.9</v>
      </c>
      <c r="G6" s="60" t="s">
        <v>245</v>
      </c>
      <c r="H6" s="61" t="s">
        <v>246</v>
      </c>
      <c r="I6" s="38">
        <v>60.5</v>
      </c>
    </row>
    <row r="7" spans="2:11" ht="18" customHeight="1" x14ac:dyDescent="0.2">
      <c r="B7" s="26" t="s">
        <v>247</v>
      </c>
      <c r="C7" s="39">
        <v>38</v>
      </c>
      <c r="D7" s="39">
        <v>32</v>
      </c>
      <c r="E7" s="39">
        <v>75</v>
      </c>
      <c r="F7" s="39">
        <v>60</v>
      </c>
      <c r="G7" s="60" t="s">
        <v>248</v>
      </c>
      <c r="H7" s="61" t="s">
        <v>249</v>
      </c>
      <c r="I7" s="38">
        <v>55</v>
      </c>
    </row>
    <row r="8" spans="2:11" ht="18" customHeight="1" x14ac:dyDescent="0.2">
      <c r="B8" s="26" t="s">
        <v>250</v>
      </c>
      <c r="C8" s="39">
        <v>36</v>
      </c>
      <c r="D8" s="39">
        <v>30</v>
      </c>
      <c r="E8" s="39">
        <v>68</v>
      </c>
      <c r="F8" s="39">
        <v>55</v>
      </c>
      <c r="G8" s="60" t="s">
        <v>251</v>
      </c>
      <c r="H8" s="61" t="s">
        <v>252</v>
      </c>
      <c r="I8" s="38">
        <v>42</v>
      </c>
    </row>
    <row r="9" spans="2:11" ht="18" customHeight="1" x14ac:dyDescent="0.2">
      <c r="B9" s="26" t="s">
        <v>253</v>
      </c>
      <c r="C9" s="39">
        <v>24</v>
      </c>
      <c r="D9" s="39">
        <v>20</v>
      </c>
      <c r="E9" s="39">
        <v>41</v>
      </c>
      <c r="F9" s="39">
        <v>34</v>
      </c>
      <c r="G9" s="60" t="s">
        <v>254</v>
      </c>
      <c r="H9" s="61" t="s">
        <v>255</v>
      </c>
      <c r="I9" s="38">
        <v>28</v>
      </c>
    </row>
    <row r="10" spans="2:11" ht="18" customHeight="1" x14ac:dyDescent="0.2">
      <c r="B10" s="26" t="s">
        <v>256</v>
      </c>
      <c r="C10" s="39">
        <v>22</v>
      </c>
      <c r="D10" s="39">
        <v>19</v>
      </c>
      <c r="E10" s="39">
        <v>50</v>
      </c>
      <c r="F10" s="39">
        <v>38</v>
      </c>
      <c r="G10" s="60" t="s">
        <v>257</v>
      </c>
      <c r="H10" s="61" t="s">
        <v>258</v>
      </c>
      <c r="I10" s="38">
        <v>32</v>
      </c>
    </row>
    <row r="11" spans="2:11" ht="19.5" customHeight="1" x14ac:dyDescent="0.2">
      <c r="B11" s="4" t="s">
        <v>259</v>
      </c>
      <c r="C11" s="4"/>
      <c r="D11" s="4"/>
      <c r="E11" s="4"/>
      <c r="F11" s="4"/>
      <c r="G11" s="4"/>
      <c r="H11" s="4"/>
      <c r="I11" s="4"/>
      <c r="J11" s="4"/>
      <c r="K11" s="4"/>
    </row>
    <row r="13" spans="2:11" ht="19.5" customHeight="1" x14ac:dyDescent="0.2">
      <c r="B13" s="12" t="s">
        <v>260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2:11" ht="18" customHeight="1" x14ac:dyDescent="0.2">
      <c r="B14" s="26" t="s">
        <v>261</v>
      </c>
      <c r="C14" s="40">
        <f>Inc_Statement!F11</f>
        <v>27283</v>
      </c>
    </row>
    <row r="15" spans="2:11" ht="18" customHeight="1" x14ac:dyDescent="0.2">
      <c r="B15" s="26" t="s">
        <v>262</v>
      </c>
      <c r="C15" s="40">
        <f>Inc_Statement!G11</f>
        <v>29580</v>
      </c>
    </row>
    <row r="16" spans="2:11" ht="18" customHeight="1" x14ac:dyDescent="0.2">
      <c r="B16" s="26" t="s">
        <v>263</v>
      </c>
      <c r="C16" s="40">
        <f>Inc_Statement!H11</f>
        <v>35351</v>
      </c>
    </row>
    <row r="17" spans="2:11" ht="18" customHeight="1" x14ac:dyDescent="0.2">
      <c r="B17" s="26" t="s">
        <v>264</v>
      </c>
      <c r="C17" s="40">
        <f>Assumptions!C47</f>
        <v>39150</v>
      </c>
    </row>
    <row r="18" spans="2:11" ht="18" customHeight="1" x14ac:dyDescent="0.2">
      <c r="B18" s="26" t="s">
        <v>92</v>
      </c>
      <c r="C18" s="40">
        <f>Assumptions!C48</f>
        <v>4406</v>
      </c>
    </row>
    <row r="19" spans="2:11" ht="18" customHeight="1" x14ac:dyDescent="0.2">
      <c r="B19" s="26" t="s">
        <v>108</v>
      </c>
      <c r="C19" s="38">
        <v>143.80000000000001</v>
      </c>
    </row>
    <row r="21" spans="2:11" ht="19.5" customHeight="1" x14ac:dyDescent="0.2">
      <c r="B21" s="12" t="s">
        <v>265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2:11" ht="21.75" customHeight="1" x14ac:dyDescent="0.2">
      <c r="B22" s="23" t="s">
        <v>266</v>
      </c>
      <c r="C22" s="25" t="s">
        <v>267</v>
      </c>
      <c r="D22" s="25" t="s">
        <v>268</v>
      </c>
      <c r="E22" s="25" t="s">
        <v>269</v>
      </c>
      <c r="F22" s="24" t="s">
        <v>270</v>
      </c>
      <c r="G22" s="24" t="s">
        <v>271</v>
      </c>
      <c r="H22" s="24" t="s">
        <v>272</v>
      </c>
    </row>
    <row r="23" spans="2:11" ht="18" customHeight="1" x14ac:dyDescent="0.2">
      <c r="B23" s="62" t="s">
        <v>273</v>
      </c>
      <c r="C23" s="33">
        <f>22*C15</f>
        <v>650760</v>
      </c>
      <c r="D23" s="33">
        <f>22*C15-C17-C18</f>
        <v>607204</v>
      </c>
      <c r="E23" s="33">
        <f>(22*C15-C17-C18)/143.8</f>
        <v>4222.5591098748255</v>
      </c>
      <c r="F23" s="33">
        <f>22*C16</f>
        <v>777722</v>
      </c>
      <c r="G23" s="33">
        <f>22*C16-C17-C18</f>
        <v>734166</v>
      </c>
      <c r="H23" s="33">
        <f>(22*C16-C17-C18)/143.8</f>
        <v>5105.4659248956877</v>
      </c>
    </row>
    <row r="24" spans="2:11" ht="18" customHeight="1" x14ac:dyDescent="0.2">
      <c r="B24" s="62" t="s">
        <v>274</v>
      </c>
      <c r="C24" s="33">
        <f>24*C15</f>
        <v>709920</v>
      </c>
      <c r="D24" s="33">
        <f>24*C15-C17-C18</f>
        <v>666364</v>
      </c>
      <c r="E24" s="33">
        <f>(24*C15-C17-C18)/143.8</f>
        <v>4633.9638386648121</v>
      </c>
      <c r="F24" s="33">
        <f>24*C16</f>
        <v>848424</v>
      </c>
      <c r="G24" s="33">
        <f>24*C16-C17-C18</f>
        <v>804868</v>
      </c>
      <c r="H24" s="33">
        <f>(24*C16-C17-C18)/143.8</f>
        <v>5597.1349095966616</v>
      </c>
    </row>
    <row r="25" spans="2:11" ht="18" customHeight="1" x14ac:dyDescent="0.2">
      <c r="B25" s="62" t="s">
        <v>275</v>
      </c>
      <c r="C25" s="33">
        <f>26*C15</f>
        <v>769080</v>
      </c>
      <c r="D25" s="33">
        <f>26*C15-C17-C18</f>
        <v>725524</v>
      </c>
      <c r="E25" s="33">
        <f>(26*C15-C17-C18)/143.8</f>
        <v>5045.3685674547978</v>
      </c>
      <c r="F25" s="33">
        <f>26*C16</f>
        <v>919126</v>
      </c>
      <c r="G25" s="33">
        <f>26*C16-C17-C18</f>
        <v>875570</v>
      </c>
      <c r="H25" s="33">
        <f>(26*C16-C17-C18)/143.8</f>
        <v>6088.8038942976355</v>
      </c>
    </row>
    <row r="26" spans="2:11" ht="18" customHeight="1" x14ac:dyDescent="0.2">
      <c r="B26" s="63" t="s">
        <v>276</v>
      </c>
      <c r="C26" s="64">
        <f>28*C15</f>
        <v>828240</v>
      </c>
      <c r="D26" s="64">
        <f>28*C15-C17-C18</f>
        <v>784684</v>
      </c>
      <c r="E26" s="64">
        <f>(28*C15-C17-C18)/143.8</f>
        <v>5456.7732962447844</v>
      </c>
      <c r="F26" s="64">
        <f>28*C16</f>
        <v>989828</v>
      </c>
      <c r="G26" s="64">
        <f>28*C16-C17-C18</f>
        <v>946272</v>
      </c>
      <c r="H26" s="64">
        <f>(28*C16-C17-C18)/143.8</f>
        <v>6580.4728789986084</v>
      </c>
    </row>
    <row r="27" spans="2:11" ht="18" customHeight="1" x14ac:dyDescent="0.2">
      <c r="B27" s="62" t="s">
        <v>277</v>
      </c>
      <c r="C27" s="33">
        <f>30*C15</f>
        <v>887400</v>
      </c>
      <c r="D27" s="33">
        <f>30*C15-C17-C18</f>
        <v>843844</v>
      </c>
      <c r="E27" s="33">
        <f>(30*C15-C17-C18)/143.8</f>
        <v>5868.1780250347701</v>
      </c>
      <c r="F27" s="33">
        <f>30*C16</f>
        <v>1060530</v>
      </c>
      <c r="G27" s="33">
        <f>30*C16-C17-C18</f>
        <v>1016974</v>
      </c>
      <c r="H27" s="33">
        <f>(30*C16-C17-C18)/143.8</f>
        <v>7072.1418636995822</v>
      </c>
    </row>
    <row r="28" spans="2:11" ht="18" customHeight="1" x14ac:dyDescent="0.2">
      <c r="B28" s="62" t="s">
        <v>278</v>
      </c>
      <c r="C28" s="33">
        <f>32*C15</f>
        <v>946560</v>
      </c>
      <c r="D28" s="33">
        <f>32*C15-C17-C18</f>
        <v>903004</v>
      </c>
      <c r="E28" s="33">
        <f>(32*C15-C17-C18)/143.8</f>
        <v>6279.5827538247559</v>
      </c>
      <c r="F28" s="33">
        <f>32*C16</f>
        <v>1131232</v>
      </c>
      <c r="G28" s="33">
        <f>32*C16-C17-C18</f>
        <v>1087676</v>
      </c>
      <c r="H28" s="33">
        <f>(32*C16-C17-C18)/143.8</f>
        <v>7563.8108484005561</v>
      </c>
    </row>
    <row r="29" spans="2:11" ht="18" customHeight="1" x14ac:dyDescent="0.2">
      <c r="B29" s="62" t="s">
        <v>279</v>
      </c>
      <c r="C29" s="33">
        <f>34*C15</f>
        <v>1005720</v>
      </c>
      <c r="D29" s="33">
        <f>34*C15-C17-C18</f>
        <v>962164</v>
      </c>
      <c r="E29" s="33">
        <f>(34*C15-C17-C18)/143.8</f>
        <v>6690.9874826147425</v>
      </c>
      <c r="F29" s="33">
        <f>34*C16</f>
        <v>1201934</v>
      </c>
      <c r="G29" s="33">
        <f>34*C16-C17-C18</f>
        <v>1158378</v>
      </c>
      <c r="H29" s="33">
        <f>(34*C16-C17-C18)/143.8</f>
        <v>8055.479833101529</v>
      </c>
    </row>
    <row r="30" spans="2:11" ht="18" customHeight="1" x14ac:dyDescent="0.2">
      <c r="B30" s="62" t="s">
        <v>280</v>
      </c>
      <c r="C30" s="33">
        <f>36*C15</f>
        <v>1064880</v>
      </c>
      <c r="D30" s="33">
        <f>36*C15-C17-C18</f>
        <v>1021324</v>
      </c>
      <c r="E30" s="33">
        <f>(36*C15-C17-C18)/143.8</f>
        <v>7102.3922114047282</v>
      </c>
      <c r="F30" s="33">
        <f>36*C16</f>
        <v>1272636</v>
      </c>
      <c r="G30" s="33">
        <f>36*C16-C17-C18</f>
        <v>1229080</v>
      </c>
      <c r="H30" s="33">
        <f>(36*C16-C17-C18)/143.8</f>
        <v>8547.1488178025029</v>
      </c>
    </row>
    <row r="31" spans="2:11" ht="18" customHeight="1" x14ac:dyDescent="0.2">
      <c r="B31" s="62" t="s">
        <v>281</v>
      </c>
      <c r="C31" s="33">
        <f>38*C15</f>
        <v>1124040</v>
      </c>
      <c r="D31" s="33">
        <f>38*C15-C17-C18</f>
        <v>1080484</v>
      </c>
      <c r="E31" s="33">
        <f>(38*C15-C17-C18)/143.8</f>
        <v>7513.7969401947139</v>
      </c>
      <c r="F31" s="33">
        <f>38*C16</f>
        <v>1343338</v>
      </c>
      <c r="G31" s="33">
        <f>38*C16-C17-C18</f>
        <v>1299782</v>
      </c>
      <c r="H31" s="33">
        <f>(38*C16-C17-C18)/143.8</f>
        <v>9038.8178025034758</v>
      </c>
    </row>
    <row r="32" spans="2:11" ht="15.75" customHeight="1" x14ac:dyDescent="0.2">
      <c r="B32" s="13" t="s">
        <v>282</v>
      </c>
      <c r="C32" s="13"/>
      <c r="D32" s="13"/>
      <c r="E32" s="13"/>
      <c r="F32" s="13"/>
      <c r="G32" s="13"/>
      <c r="H32" s="13"/>
      <c r="I32" s="13"/>
      <c r="J32" s="13"/>
      <c r="K32" s="13"/>
    </row>
    <row r="34" spans="2:11" ht="19.5" customHeight="1" x14ac:dyDescent="0.2">
      <c r="B34" s="12" t="s">
        <v>283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2:11" ht="21.75" customHeight="1" x14ac:dyDescent="0.2">
      <c r="B35" s="23" t="s">
        <v>284</v>
      </c>
      <c r="C35" s="25" t="s">
        <v>285</v>
      </c>
      <c r="D35" s="25" t="s">
        <v>286</v>
      </c>
      <c r="E35" s="24" t="s">
        <v>287</v>
      </c>
      <c r="F35" s="24" t="s">
        <v>288</v>
      </c>
    </row>
    <row r="36" spans="2:11" ht="18" customHeight="1" x14ac:dyDescent="0.2">
      <c r="B36" s="62" t="s">
        <v>289</v>
      </c>
      <c r="C36" s="65">
        <f>Inc_Statement!G28</f>
        <v>135.04</v>
      </c>
      <c r="D36" s="33">
        <f>35*Inc_Statement!G28</f>
        <v>4726.3999999999996</v>
      </c>
      <c r="E36" s="65">
        <f>Inc_Statement!H28</f>
        <v>141.71070931849789</v>
      </c>
      <c r="F36" s="33">
        <f>35*Inc_Statement!H28</f>
        <v>4959.8748261474266</v>
      </c>
    </row>
    <row r="37" spans="2:11" ht="18" customHeight="1" x14ac:dyDescent="0.2">
      <c r="B37" s="62" t="s">
        <v>290</v>
      </c>
      <c r="C37" s="65">
        <f>Inc_Statement!G28</f>
        <v>135.04</v>
      </c>
      <c r="D37" s="33">
        <f>40*Inc_Statement!G28</f>
        <v>5401.5999999999995</v>
      </c>
      <c r="E37" s="65">
        <f>Inc_Statement!H28</f>
        <v>141.71070931849789</v>
      </c>
      <c r="F37" s="33">
        <f>40*Inc_Statement!H28</f>
        <v>5668.4283727399161</v>
      </c>
    </row>
    <row r="38" spans="2:11" ht="18" customHeight="1" x14ac:dyDescent="0.2">
      <c r="B38" s="62" t="s">
        <v>291</v>
      </c>
      <c r="C38" s="65">
        <f>Inc_Statement!G28</f>
        <v>135.04</v>
      </c>
      <c r="D38" s="33">
        <f>44*Inc_Statement!G28</f>
        <v>5941.7599999999993</v>
      </c>
      <c r="E38" s="65">
        <f>Inc_Statement!H28</f>
        <v>141.71070931849789</v>
      </c>
      <c r="F38" s="33">
        <f>44*Inc_Statement!H28</f>
        <v>6235.271210013907</v>
      </c>
    </row>
    <row r="39" spans="2:11" ht="18" customHeight="1" x14ac:dyDescent="0.2">
      <c r="B39" s="63" t="s">
        <v>292</v>
      </c>
      <c r="C39" s="66">
        <f>Inc_Statement!G28</f>
        <v>135.04</v>
      </c>
      <c r="D39" s="64">
        <f>45*Inc_Statement!G28</f>
        <v>6076.7999999999993</v>
      </c>
      <c r="E39" s="66">
        <f>Inc_Statement!H28</f>
        <v>141.71070931849789</v>
      </c>
      <c r="F39" s="64">
        <f>45*Inc_Statement!H28</f>
        <v>6376.9819193324047</v>
      </c>
    </row>
    <row r="40" spans="2:11" ht="18" customHeight="1" x14ac:dyDescent="0.2">
      <c r="B40" s="62" t="s">
        <v>293</v>
      </c>
      <c r="C40" s="65">
        <f>Inc_Statement!G28</f>
        <v>135.04</v>
      </c>
      <c r="D40" s="33">
        <f>50*Inc_Statement!G28</f>
        <v>6752</v>
      </c>
      <c r="E40" s="65">
        <f>Inc_Statement!H28</f>
        <v>141.71070931849789</v>
      </c>
      <c r="F40" s="33">
        <f>50*Inc_Statement!H28</f>
        <v>7085.5354659248942</v>
      </c>
    </row>
    <row r="41" spans="2:11" ht="18" customHeight="1" x14ac:dyDescent="0.2">
      <c r="B41" s="62" t="s">
        <v>294</v>
      </c>
      <c r="C41" s="65">
        <f>Inc_Statement!G28</f>
        <v>135.04</v>
      </c>
      <c r="D41" s="33">
        <f>52*Inc_Statement!G28</f>
        <v>7022.08</v>
      </c>
      <c r="E41" s="65">
        <f>Inc_Statement!H28</f>
        <v>141.71070931849789</v>
      </c>
      <c r="F41" s="33">
        <f>52*Inc_Statement!H28</f>
        <v>7368.9568845618905</v>
      </c>
    </row>
    <row r="42" spans="2:11" ht="18" customHeight="1" x14ac:dyDescent="0.2">
      <c r="B42" s="62" t="s">
        <v>295</v>
      </c>
      <c r="C42" s="65">
        <f>Inc_Statement!G28</f>
        <v>135.04</v>
      </c>
      <c r="D42" s="33">
        <f>55*Inc_Statement!G28</f>
        <v>7427.2</v>
      </c>
      <c r="E42" s="65">
        <f>Inc_Statement!H28</f>
        <v>141.71070931849789</v>
      </c>
      <c r="F42" s="33">
        <f>55*Inc_Statement!H28</f>
        <v>7794.0890125173837</v>
      </c>
    </row>
    <row r="43" spans="2:11" ht="18" customHeight="1" x14ac:dyDescent="0.2">
      <c r="B43" s="62" t="s">
        <v>296</v>
      </c>
      <c r="C43" s="65">
        <f>Inc_Statement!G28</f>
        <v>135.04</v>
      </c>
      <c r="D43" s="33">
        <f>60*Inc_Statement!G28</f>
        <v>8102.4</v>
      </c>
      <c r="E43" s="65">
        <f>Inc_Statement!H28</f>
        <v>141.71070931849789</v>
      </c>
      <c r="F43" s="33">
        <f>60*Inc_Statement!H28</f>
        <v>8502.6425591098741</v>
      </c>
    </row>
    <row r="44" spans="2:11" ht="15.75" customHeight="1" x14ac:dyDescent="0.2">
      <c r="B44" s="13" t="s">
        <v>297</v>
      </c>
      <c r="C44" s="13"/>
      <c r="D44" s="13"/>
      <c r="E44" s="13"/>
      <c r="F44" s="13"/>
      <c r="G44" s="13"/>
      <c r="H44" s="13"/>
      <c r="I44" s="13"/>
      <c r="J44" s="13"/>
      <c r="K44" s="13"/>
    </row>
  </sheetData>
  <mergeCells count="9">
    <mergeCell ref="B21:K21"/>
    <mergeCell ref="B32:K32"/>
    <mergeCell ref="B34:K34"/>
    <mergeCell ref="B44:K44"/>
    <mergeCell ref="B1:K1"/>
    <mergeCell ref="B2:K2"/>
    <mergeCell ref="B4:K4"/>
    <mergeCell ref="B11:K11"/>
    <mergeCell ref="B13:K13"/>
  </mergeCells>
  <pageMargins left="0.75" right="0.75" top="1" bottom="1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A1:K23"/>
  <sheetViews>
    <sheetView zoomScale="89" zoomScaleNormal="89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11" width="13" customWidth="1"/>
  </cols>
  <sheetData>
    <row r="1" spans="1:11" ht="27.75" customHeight="1" x14ac:dyDescent="0.2">
      <c r="B1" s="14" t="s">
        <v>298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4" t="s">
        <v>299</v>
      </c>
      <c r="C2" s="4"/>
      <c r="D2" s="4"/>
      <c r="E2" s="4"/>
      <c r="F2" s="4"/>
      <c r="G2" s="4"/>
      <c r="H2" s="4"/>
      <c r="I2" s="4"/>
      <c r="J2" s="4"/>
      <c r="K2" s="4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300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32" t="s">
        <v>301</v>
      </c>
      <c r="C5" s="40">
        <f>Assumptions!C13</f>
        <v>53626</v>
      </c>
      <c r="D5" s="40">
        <f>Assumptions!D13</f>
        <v>67124</v>
      </c>
      <c r="E5" s="40">
        <f>Assumptions!E13</f>
        <v>78269</v>
      </c>
      <c r="F5" s="40">
        <f>Assumptions!F13</f>
        <v>90930</v>
      </c>
      <c r="G5" s="40">
        <f>Assumptions!G13</f>
        <v>108081</v>
      </c>
      <c r="H5" s="40">
        <f>Assumptions!H13</f>
        <v>125600</v>
      </c>
      <c r="I5" s="40">
        <f>Assumptions!I13</f>
        <v>144400</v>
      </c>
      <c r="J5" s="40">
        <f>Assumptions!J13</f>
        <v>164600</v>
      </c>
      <c r="K5" s="40">
        <f>Assumptions!K13</f>
        <v>184400</v>
      </c>
    </row>
    <row r="6" spans="1:11" ht="18" customHeight="1" x14ac:dyDescent="0.2">
      <c r="B6" s="29" t="s">
        <v>302</v>
      </c>
      <c r="C6" s="27">
        <v>45000</v>
      </c>
      <c r="D6" s="27">
        <v>55000</v>
      </c>
      <c r="E6" s="27">
        <v>67400</v>
      </c>
      <c r="F6" s="27">
        <v>80000</v>
      </c>
      <c r="G6" s="33">
        <f>ROUND(Pharmacy_Hlth!G5*0.87,0)</f>
        <v>94030</v>
      </c>
      <c r="H6" s="33">
        <f>ROUND(Pharmacy_Hlth!H5*0.87,0)</f>
        <v>109272</v>
      </c>
      <c r="I6" s="33">
        <f>ROUND(Pharmacy_Hlth!I5*0.87,0)</f>
        <v>125628</v>
      </c>
      <c r="J6" s="33">
        <f>ROUND(Pharmacy_Hlth!J5*0.87,0)</f>
        <v>143202</v>
      </c>
      <c r="K6" s="33">
        <f>ROUND(Pharmacy_Hlth!K5*0.87,0)</f>
        <v>160428</v>
      </c>
    </row>
    <row r="7" spans="1:11" ht="18" customHeight="1" x14ac:dyDescent="0.2">
      <c r="B7" s="29" t="s">
        <v>303</v>
      </c>
      <c r="C7" s="27">
        <v>8626</v>
      </c>
      <c r="D7" s="27">
        <v>12124</v>
      </c>
      <c r="E7" s="27">
        <v>10869</v>
      </c>
      <c r="F7" s="27">
        <v>10930</v>
      </c>
      <c r="G7" s="33">
        <f>ROUND(Pharmacy_Hlth!G5*0.13,0)</f>
        <v>14051</v>
      </c>
      <c r="H7" s="33">
        <f>ROUND(Pharmacy_Hlth!H5*0.13,0)</f>
        <v>16328</v>
      </c>
      <c r="I7" s="33">
        <f>ROUND(Pharmacy_Hlth!I5*0.13,0)</f>
        <v>18772</v>
      </c>
      <c r="J7" s="33">
        <f>ROUND(Pharmacy_Hlth!J5*0.13,0)</f>
        <v>21398</v>
      </c>
      <c r="K7" s="33">
        <f>ROUND(Pharmacy_Hlth!K5*0.13,0)</f>
        <v>23972</v>
      </c>
    </row>
    <row r="8" spans="1:11" ht="18" customHeight="1" x14ac:dyDescent="0.2">
      <c r="B8" s="34" t="s">
        <v>304</v>
      </c>
      <c r="D8" s="44">
        <f t="shared" ref="D8:K8" si="0">IF(C5=0,"",D5/C5-1)</f>
        <v>0.25170626188789025</v>
      </c>
      <c r="E8" s="44">
        <f t="shared" si="0"/>
        <v>0.16603599308742023</v>
      </c>
      <c r="F8" s="44">
        <f t="shared" si="0"/>
        <v>0.16176263910360422</v>
      </c>
      <c r="G8" s="44">
        <f t="shared" si="0"/>
        <v>0.18861761794787202</v>
      </c>
      <c r="H8" s="44">
        <f t="shared" si="0"/>
        <v>0.16209139441715004</v>
      </c>
      <c r="I8" s="44">
        <f t="shared" si="0"/>
        <v>0.14968152866242046</v>
      </c>
      <c r="J8" s="44">
        <f t="shared" si="0"/>
        <v>0.13988919667590038</v>
      </c>
      <c r="K8" s="44">
        <f t="shared" si="0"/>
        <v>0.12029161603888205</v>
      </c>
    </row>
    <row r="9" spans="1:11" ht="19.5" customHeight="1" x14ac:dyDescent="0.2">
      <c r="B9" s="12" t="s">
        <v>305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ht="18" customHeight="1" x14ac:dyDescent="0.2">
      <c r="B10" s="26" t="s">
        <v>306</v>
      </c>
      <c r="C10" s="41">
        <f>Assumptions!C20</f>
        <v>5.0000000000000001E-3</v>
      </c>
      <c r="D10" s="41">
        <f>Assumptions!D20</f>
        <v>8.0000000000000002E-3</v>
      </c>
      <c r="E10" s="41">
        <f>Assumptions!E20</f>
        <v>0.01</v>
      </c>
      <c r="F10" s="41">
        <f>Assumptions!F20</f>
        <v>1.4E-2</v>
      </c>
      <c r="G10" s="41">
        <f>Assumptions!G20</f>
        <v>8.7999999999999995E-2</v>
      </c>
      <c r="H10" s="41">
        <f>Assumptions!H20</f>
        <v>2.8000000000000001E-2</v>
      </c>
      <c r="I10" s="41">
        <f>Assumptions!I20</f>
        <v>3.7999999999999999E-2</v>
      </c>
      <c r="J10" s="41">
        <f>Assumptions!J20</f>
        <v>4.4999999999999998E-2</v>
      </c>
      <c r="K10" s="41">
        <f>Assumptions!K20</f>
        <v>0.05</v>
      </c>
    </row>
    <row r="11" spans="1:11" ht="19.5" customHeight="1" x14ac:dyDescent="0.2">
      <c r="B11" s="32" t="s">
        <v>307</v>
      </c>
      <c r="C11" s="49">
        <f t="shared" ref="C11:K11" si="1">ROUND(C5*C10,0)</f>
        <v>268</v>
      </c>
      <c r="D11" s="49">
        <f t="shared" si="1"/>
        <v>537</v>
      </c>
      <c r="E11" s="49">
        <f t="shared" si="1"/>
        <v>783</v>
      </c>
      <c r="F11" s="49">
        <f t="shared" si="1"/>
        <v>1273</v>
      </c>
      <c r="G11" s="49">
        <f t="shared" si="1"/>
        <v>9511</v>
      </c>
      <c r="H11" s="49">
        <f t="shared" si="1"/>
        <v>3517</v>
      </c>
      <c r="I11" s="49">
        <f t="shared" si="1"/>
        <v>5487</v>
      </c>
      <c r="J11" s="49">
        <f t="shared" si="1"/>
        <v>7407</v>
      </c>
      <c r="K11" s="49">
        <f t="shared" si="1"/>
        <v>9220</v>
      </c>
    </row>
    <row r="12" spans="1:11" ht="18" customHeight="1" x14ac:dyDescent="0.2">
      <c r="B12" s="26" t="s">
        <v>308</v>
      </c>
      <c r="C12" s="27">
        <v>14000</v>
      </c>
      <c r="D12" s="27">
        <v>18000</v>
      </c>
      <c r="E12" s="27">
        <v>25000</v>
      </c>
      <c r="F12" s="27">
        <v>30000</v>
      </c>
      <c r="G12" s="27">
        <v>37500</v>
      </c>
      <c r="H12" s="27">
        <v>47000</v>
      </c>
      <c r="I12" s="27">
        <v>58000</v>
      </c>
      <c r="J12" s="27">
        <v>72000</v>
      </c>
      <c r="K12" s="27">
        <v>88000</v>
      </c>
    </row>
    <row r="13" spans="1:11" ht="18" customHeight="1" x14ac:dyDescent="0.2">
      <c r="B13" s="26" t="s">
        <v>309</v>
      </c>
      <c r="C13" s="27">
        <v>4200</v>
      </c>
      <c r="D13" s="27">
        <v>5200</v>
      </c>
      <c r="E13" s="27">
        <v>6030</v>
      </c>
      <c r="F13" s="27">
        <v>6626</v>
      </c>
      <c r="G13" s="27">
        <v>7226</v>
      </c>
      <c r="H13" s="27">
        <v>7826</v>
      </c>
      <c r="I13" s="27">
        <v>8426</v>
      </c>
      <c r="J13" s="27">
        <v>9026</v>
      </c>
      <c r="K13" s="27">
        <v>9626</v>
      </c>
    </row>
    <row r="14" spans="1:11" ht="19.5" customHeight="1" x14ac:dyDescent="0.2">
      <c r="B14" s="12" t="s">
        <v>310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36" customHeight="1" x14ac:dyDescent="0.2">
      <c r="B15" s="3" t="s">
        <v>311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8" customHeight="1" x14ac:dyDescent="0.2">
      <c r="B16" s="26" t="s">
        <v>312</v>
      </c>
      <c r="C16" s="39">
        <v>2</v>
      </c>
    </row>
    <row r="17" spans="2:3" ht="18" customHeight="1" x14ac:dyDescent="0.2">
      <c r="B17" s="26" t="s">
        <v>313</v>
      </c>
      <c r="C17" s="39">
        <v>3</v>
      </c>
    </row>
    <row r="18" spans="2:3" ht="18" customHeight="1" x14ac:dyDescent="0.2">
      <c r="B18" s="26" t="s">
        <v>314</v>
      </c>
      <c r="C18" s="39">
        <v>25</v>
      </c>
    </row>
    <row r="19" spans="2:3" ht="18" customHeight="1" x14ac:dyDescent="0.2">
      <c r="B19" s="26" t="s">
        <v>315</v>
      </c>
      <c r="C19" s="40">
        <f>G5</f>
        <v>108081</v>
      </c>
    </row>
    <row r="20" spans="2:3" ht="18" customHeight="1" x14ac:dyDescent="0.2">
      <c r="B20" s="26" t="s">
        <v>316</v>
      </c>
      <c r="C20" s="40">
        <f>H5</f>
        <v>125600</v>
      </c>
    </row>
    <row r="21" spans="2:3" ht="18" customHeight="1" x14ac:dyDescent="0.2">
      <c r="B21" s="26" t="s">
        <v>317</v>
      </c>
      <c r="C21" s="40">
        <f>H11</f>
        <v>3517</v>
      </c>
    </row>
    <row r="22" spans="2:3" ht="19.5" customHeight="1" x14ac:dyDescent="0.2">
      <c r="B22" s="32" t="s">
        <v>318</v>
      </c>
      <c r="C22" s="49">
        <f>C16*C19</f>
        <v>216162</v>
      </c>
    </row>
    <row r="23" spans="2:3" ht="19.5" customHeight="1" x14ac:dyDescent="0.2">
      <c r="B23" s="32" t="s">
        <v>319</v>
      </c>
      <c r="C23" s="49">
        <f>C18*C21</f>
        <v>87925</v>
      </c>
    </row>
  </sheetData>
  <mergeCells count="6">
    <mergeCell ref="B15:K15"/>
    <mergeCell ref="B1:K1"/>
    <mergeCell ref="B2:K2"/>
    <mergeCell ref="B4:K4"/>
    <mergeCell ref="B9:K9"/>
    <mergeCell ref="B14:K14"/>
  </mergeCells>
  <pageMargins left="0.75" right="0.75" top="1" bottom="1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K2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11" width="13" customWidth="1"/>
  </cols>
  <sheetData>
    <row r="1" spans="1:11" ht="27.75" customHeight="1" x14ac:dyDescent="0.2">
      <c r="B1" s="14" t="s">
        <v>320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321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 t="s">
        <v>53</v>
      </c>
      <c r="C3" s="25" t="s">
        <v>54</v>
      </c>
      <c r="D3" s="25" t="s">
        <v>55</v>
      </c>
      <c r="E3" s="25" t="s">
        <v>56</v>
      </c>
      <c r="F3" s="25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300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32" t="s">
        <v>322</v>
      </c>
      <c r="C5" s="40">
        <f>Assumptions!C15</f>
        <v>13000</v>
      </c>
      <c r="D5" s="40">
        <f>Assumptions!D15</f>
        <v>12000</v>
      </c>
      <c r="E5" s="40">
        <f>Assumptions!E15</f>
        <v>13653</v>
      </c>
      <c r="F5" s="40">
        <f>Assumptions!F15</f>
        <v>15535</v>
      </c>
      <c r="G5" s="40">
        <f>Assumptions!G15</f>
        <v>16703</v>
      </c>
      <c r="H5" s="40">
        <f>Assumptions!H15</f>
        <v>19660</v>
      </c>
      <c r="I5" s="40">
        <f>Assumptions!I15</f>
        <v>21820</v>
      </c>
      <c r="J5" s="40">
        <f>Assumptions!J15</f>
        <v>24000</v>
      </c>
      <c r="K5" s="40">
        <f>Assumptions!K15</f>
        <v>26400</v>
      </c>
    </row>
    <row r="6" spans="1:11" ht="18" customHeight="1" x14ac:dyDescent="0.2">
      <c r="B6" s="29" t="s">
        <v>323</v>
      </c>
      <c r="C6" s="27">
        <v>5850</v>
      </c>
      <c r="D6" s="27">
        <v>5450</v>
      </c>
      <c r="E6" s="27">
        <v>5010</v>
      </c>
      <c r="F6" s="27">
        <v>5460</v>
      </c>
      <c r="G6" s="33">
        <f>ROUND(Diag_AHLL!G5*0.35,0)</f>
        <v>5846</v>
      </c>
      <c r="H6" s="33">
        <f>ROUND(Diag_AHLL!H5*0.35,0)</f>
        <v>6881</v>
      </c>
      <c r="I6" s="33">
        <f>ROUND(Diag_AHLL!I5*0.35,0)</f>
        <v>7637</v>
      </c>
      <c r="J6" s="33">
        <f>ROUND(Diag_AHLL!J5*0.35,0)</f>
        <v>8400</v>
      </c>
      <c r="K6" s="33">
        <f>ROUND(Diag_AHLL!K5*0.35,0)</f>
        <v>9240</v>
      </c>
    </row>
    <row r="7" spans="1:11" ht="18" customHeight="1" x14ac:dyDescent="0.2">
      <c r="B7" s="29" t="s">
        <v>324</v>
      </c>
      <c r="C7" s="27">
        <v>2730</v>
      </c>
      <c r="D7" s="27">
        <v>2600</v>
      </c>
      <c r="E7" s="27">
        <v>3240</v>
      </c>
      <c r="F7" s="27">
        <v>3660</v>
      </c>
      <c r="G7" s="33">
        <f>ROUND(Diag_AHLL!G5*0.21,0)</f>
        <v>3508</v>
      </c>
      <c r="H7" s="33">
        <f>ROUND(Diag_AHLL!H5*0.21,0)</f>
        <v>4129</v>
      </c>
      <c r="I7" s="33">
        <f>ROUND(Diag_AHLL!I5*0.21,0)</f>
        <v>4582</v>
      </c>
      <c r="J7" s="33">
        <f>ROUND(Diag_AHLL!J5*0.21,0)</f>
        <v>5040</v>
      </c>
      <c r="K7" s="33">
        <f>ROUND(Diag_AHLL!K5*0.21,0)</f>
        <v>5544</v>
      </c>
    </row>
    <row r="8" spans="1:11" ht="18" customHeight="1" x14ac:dyDescent="0.2">
      <c r="B8" s="29" t="s">
        <v>325</v>
      </c>
      <c r="C8" s="27">
        <v>4420</v>
      </c>
      <c r="D8" s="27">
        <v>3950</v>
      </c>
      <c r="E8" s="27">
        <v>5400</v>
      </c>
      <c r="F8" s="27">
        <v>6420</v>
      </c>
      <c r="G8" s="33">
        <f>ROUND(Diag_AHLL!G5*0.44,0)</f>
        <v>7349</v>
      </c>
      <c r="H8" s="33">
        <f>ROUND(Diag_AHLL!H5*0.44,0)</f>
        <v>8650</v>
      </c>
      <c r="I8" s="33">
        <f>ROUND(Diag_AHLL!I5*0.44,0)</f>
        <v>9601</v>
      </c>
      <c r="J8" s="33">
        <f>ROUND(Diag_AHLL!J5*0.44,0)</f>
        <v>10560</v>
      </c>
      <c r="K8" s="33">
        <f>ROUND(Diag_AHLL!K5*0.44,0)</f>
        <v>11616</v>
      </c>
    </row>
    <row r="9" spans="1:11" ht="18" customHeight="1" x14ac:dyDescent="0.2">
      <c r="B9" s="34" t="s">
        <v>304</v>
      </c>
      <c r="D9" s="44">
        <f t="shared" ref="D9:K9" si="0">IF(C5=0,"",D5/C5-1)</f>
        <v>-7.6923076923076872E-2</v>
      </c>
      <c r="E9" s="44">
        <f t="shared" si="0"/>
        <v>0.13775000000000004</v>
      </c>
      <c r="F9" s="44">
        <f t="shared" si="0"/>
        <v>0.13784516223540622</v>
      </c>
      <c r="G9" s="44">
        <f t="shared" si="0"/>
        <v>7.518506598004504E-2</v>
      </c>
      <c r="H9" s="44">
        <f t="shared" si="0"/>
        <v>0.177034065736694</v>
      </c>
      <c r="I9" s="44">
        <f t="shared" si="0"/>
        <v>0.10986775178026442</v>
      </c>
      <c r="J9" s="44">
        <f t="shared" si="0"/>
        <v>9.9908340971585741E-2</v>
      </c>
      <c r="K9" s="44">
        <f t="shared" si="0"/>
        <v>0.10000000000000009</v>
      </c>
    </row>
    <row r="10" spans="1:11" ht="19.5" customHeight="1" x14ac:dyDescent="0.2">
      <c r="B10" s="12" t="s">
        <v>305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ht="18" customHeight="1" x14ac:dyDescent="0.2">
      <c r="B11" s="26" t="s">
        <v>306</v>
      </c>
      <c r="C11" s="41">
        <f>Assumptions!C21</f>
        <v>8.6999999999999994E-2</v>
      </c>
      <c r="D11" s="41">
        <f>Assumptions!D21</f>
        <v>9.2999999999999999E-2</v>
      </c>
      <c r="E11" s="41">
        <f>Assumptions!E21</f>
        <v>9.6000000000000002E-2</v>
      </c>
      <c r="F11" s="41">
        <f>Assumptions!F21</f>
        <v>0.107</v>
      </c>
      <c r="G11" s="41">
        <f>Assumptions!G21</f>
        <v>0.13500000000000001</v>
      </c>
      <c r="H11" s="41">
        <f>Assumptions!H21</f>
        <v>0.125</v>
      </c>
      <c r="I11" s="41">
        <f>Assumptions!I21</f>
        <v>0.13</v>
      </c>
      <c r="J11" s="41">
        <f>Assumptions!J21</f>
        <v>0.13500000000000001</v>
      </c>
      <c r="K11" s="41">
        <f>Assumptions!K21</f>
        <v>0.14000000000000001</v>
      </c>
    </row>
    <row r="12" spans="1:11" ht="19.5" customHeight="1" x14ac:dyDescent="0.2">
      <c r="B12" s="32" t="s">
        <v>326</v>
      </c>
      <c r="C12" s="49">
        <f t="shared" ref="C12:K12" si="1">ROUND(C5*C11,0)</f>
        <v>1131</v>
      </c>
      <c r="D12" s="49">
        <f t="shared" si="1"/>
        <v>1116</v>
      </c>
      <c r="E12" s="49">
        <f t="shared" si="1"/>
        <v>1311</v>
      </c>
      <c r="F12" s="49">
        <f t="shared" si="1"/>
        <v>1662</v>
      </c>
      <c r="G12" s="49">
        <f t="shared" si="1"/>
        <v>2255</v>
      </c>
      <c r="H12" s="49">
        <f t="shared" si="1"/>
        <v>2458</v>
      </c>
      <c r="I12" s="49">
        <f t="shared" si="1"/>
        <v>2837</v>
      </c>
      <c r="J12" s="49">
        <f t="shared" si="1"/>
        <v>3240</v>
      </c>
      <c r="K12" s="49">
        <f t="shared" si="1"/>
        <v>3696</v>
      </c>
    </row>
    <row r="13" spans="1:11" ht="18" customHeight="1" x14ac:dyDescent="0.2">
      <c r="B13" s="26" t="s">
        <v>327</v>
      </c>
      <c r="C13" s="27">
        <v>15000</v>
      </c>
      <c r="D13" s="27">
        <v>17000</v>
      </c>
      <c r="E13" s="27">
        <v>19000</v>
      </c>
      <c r="F13" s="27">
        <v>23049</v>
      </c>
      <c r="G13" s="27">
        <v>26000</v>
      </c>
      <c r="H13" s="27">
        <v>29000</v>
      </c>
      <c r="I13" s="27">
        <v>32000</v>
      </c>
      <c r="J13" s="27">
        <v>35000</v>
      </c>
      <c r="K13" s="27">
        <v>38000</v>
      </c>
    </row>
    <row r="14" spans="1:11" ht="19.5" customHeight="1" x14ac:dyDescent="0.2">
      <c r="B14" s="12" t="s">
        <v>328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36" customHeight="1" x14ac:dyDescent="0.2">
      <c r="B15" s="3" t="s">
        <v>329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8" customHeight="1" x14ac:dyDescent="0.2">
      <c r="B16" s="26" t="s">
        <v>330</v>
      </c>
      <c r="C16" s="39">
        <v>20</v>
      </c>
    </row>
    <row r="17" spans="2:3" ht="18" customHeight="1" x14ac:dyDescent="0.2">
      <c r="B17" s="26" t="s">
        <v>331</v>
      </c>
      <c r="C17" s="39">
        <v>24</v>
      </c>
    </row>
    <row r="18" spans="2:3" ht="18" customHeight="1" x14ac:dyDescent="0.2">
      <c r="B18" s="26" t="s">
        <v>332</v>
      </c>
      <c r="C18" s="40">
        <f>G12</f>
        <v>2255</v>
      </c>
    </row>
    <row r="19" spans="2:3" ht="18" customHeight="1" x14ac:dyDescent="0.2">
      <c r="B19" s="26" t="s">
        <v>333</v>
      </c>
      <c r="C19" s="40">
        <f>H12</f>
        <v>2458</v>
      </c>
    </row>
    <row r="20" spans="2:3" ht="19.5" customHeight="1" x14ac:dyDescent="0.2">
      <c r="B20" s="32" t="s">
        <v>334</v>
      </c>
      <c r="C20" s="49">
        <f>C16*C18</f>
        <v>45100</v>
      </c>
    </row>
  </sheetData>
  <mergeCells count="6">
    <mergeCell ref="B15:K15"/>
    <mergeCell ref="B1:K1"/>
    <mergeCell ref="B2:K2"/>
    <mergeCell ref="B4:K4"/>
    <mergeCell ref="B10:K10"/>
    <mergeCell ref="B14:K14"/>
  </mergeCells>
  <pageMargins left="0.75" right="0.75" top="1" bottom="1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B1:H36"/>
  <sheetViews>
    <sheetView zoomScale="89" zoomScaleNormal="58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F25" sqref="F25"/>
    </sheetView>
  </sheetViews>
  <sheetFormatPr baseColWidth="10" defaultColWidth="8.6640625" defaultRowHeight="15" x14ac:dyDescent="0.2"/>
  <cols>
    <col min="1" max="1" width="3" customWidth="1"/>
    <col min="2" max="2" width="48" customWidth="1"/>
    <col min="3" max="8" width="20" customWidth="1"/>
  </cols>
  <sheetData>
    <row r="1" spans="2:8" ht="31.5" customHeight="1" x14ac:dyDescent="0.2">
      <c r="B1" s="14" t="s">
        <v>335</v>
      </c>
      <c r="C1" s="14"/>
      <c r="D1" s="14"/>
      <c r="E1" s="14"/>
      <c r="F1" s="14"/>
      <c r="G1" s="14"/>
      <c r="H1" s="14"/>
    </row>
    <row r="2" spans="2:8" ht="19.5" customHeight="1" x14ac:dyDescent="0.2">
      <c r="B2" s="2" t="s">
        <v>336</v>
      </c>
      <c r="C2" s="2"/>
      <c r="D2" s="2"/>
      <c r="E2" s="2"/>
      <c r="F2" s="2"/>
      <c r="G2" s="2"/>
      <c r="H2" s="2"/>
    </row>
    <row r="4" spans="2:8" ht="21.75" customHeight="1" x14ac:dyDescent="0.2">
      <c r="B4" s="23" t="s">
        <v>337</v>
      </c>
      <c r="C4" s="25" t="s">
        <v>338</v>
      </c>
      <c r="D4" s="25" t="s">
        <v>339</v>
      </c>
      <c r="E4" s="25" t="s">
        <v>340</v>
      </c>
      <c r="F4" s="24" t="s">
        <v>341</v>
      </c>
      <c r="G4" s="24" t="s">
        <v>342</v>
      </c>
    </row>
    <row r="5" spans="2:8" ht="25.5" customHeight="1" x14ac:dyDescent="0.2">
      <c r="B5" s="1" t="s">
        <v>343</v>
      </c>
      <c r="C5" s="1"/>
      <c r="D5" s="1"/>
      <c r="E5" s="1"/>
      <c r="F5" s="1"/>
      <c r="G5" s="1"/>
      <c r="H5" s="1"/>
    </row>
    <row r="6" spans="2:8" ht="19.5" customHeight="1" x14ac:dyDescent="0.2">
      <c r="B6" s="26" t="s">
        <v>344</v>
      </c>
      <c r="C6" s="67" t="s">
        <v>238</v>
      </c>
      <c r="D6" s="68">
        <v>27</v>
      </c>
      <c r="E6" s="40">
        <f>Inc_Statement!G11</f>
        <v>29580</v>
      </c>
      <c r="F6" s="33">
        <f>D6*E6</f>
        <v>798660</v>
      </c>
      <c r="G6" s="33">
        <f>F6/143.8</f>
        <v>5553.9638386648121</v>
      </c>
    </row>
    <row r="7" spans="2:8" ht="19.5" customHeight="1" x14ac:dyDescent="0.2">
      <c r="B7" s="26" t="s">
        <v>345</v>
      </c>
      <c r="C7" s="67" t="s">
        <v>346</v>
      </c>
      <c r="D7" s="39">
        <v>2</v>
      </c>
      <c r="E7" s="40">
        <f>Pharmacy_Hlth!G5</f>
        <v>108081</v>
      </c>
      <c r="F7" s="33">
        <f>D7*E7</f>
        <v>216162</v>
      </c>
      <c r="G7" s="33">
        <f>F7/143.8</f>
        <v>1503.2127955493741</v>
      </c>
    </row>
    <row r="8" spans="2:8" ht="19.5" customHeight="1" x14ac:dyDescent="0.2">
      <c r="B8" s="26" t="s">
        <v>347</v>
      </c>
      <c r="C8" s="67" t="s">
        <v>238</v>
      </c>
      <c r="D8" s="39">
        <v>20</v>
      </c>
      <c r="E8" s="40">
        <f>Diag_AHLL!G12</f>
        <v>2255</v>
      </c>
      <c r="F8" s="33">
        <f>D8*E8</f>
        <v>45100</v>
      </c>
      <c r="G8" s="33">
        <f>F8/143.8</f>
        <v>313.63004172461751</v>
      </c>
    </row>
    <row r="9" spans="2:8" ht="21.75" customHeight="1" x14ac:dyDescent="0.2">
      <c r="B9" s="15" t="s">
        <v>348</v>
      </c>
      <c r="F9" s="49">
        <f>F6+F7+F8</f>
        <v>1059922</v>
      </c>
      <c r="G9" s="49">
        <f>F9/143.8</f>
        <v>7370.806675938803</v>
      </c>
    </row>
    <row r="10" spans="2:8" ht="19.5" customHeight="1" x14ac:dyDescent="0.2">
      <c r="B10" s="34" t="s">
        <v>349</v>
      </c>
      <c r="C10" s="67" t="s">
        <v>350</v>
      </c>
      <c r="D10" s="30">
        <v>7.0000000000000007E-2</v>
      </c>
      <c r="F10" s="33">
        <f>-D10*F9</f>
        <v>-74194.540000000008</v>
      </c>
    </row>
    <row r="11" spans="2:8" ht="19.5" customHeight="1" x14ac:dyDescent="0.2">
      <c r="B11" s="26" t="s">
        <v>351</v>
      </c>
      <c r="F11" s="27">
        <v>-39150</v>
      </c>
    </row>
    <row r="12" spans="2:8" ht="19.5" customHeight="1" x14ac:dyDescent="0.2">
      <c r="B12" s="26" t="s">
        <v>352</v>
      </c>
      <c r="F12" s="27">
        <v>-4406</v>
      </c>
    </row>
    <row r="13" spans="2:8" ht="27.75" customHeight="1" x14ac:dyDescent="0.2">
      <c r="B13" s="69" t="s">
        <v>353</v>
      </c>
      <c r="F13" s="70">
        <f>F9+F10+F11+F12</f>
        <v>942171.46</v>
      </c>
      <c r="G13" s="70">
        <f>F13/143.8</f>
        <v>6551.9573018080664</v>
      </c>
    </row>
    <row r="14" spans="2:8" ht="19.5" customHeight="1" x14ac:dyDescent="0.2">
      <c r="B14" s="26" t="s">
        <v>354</v>
      </c>
      <c r="F14" s="27">
        <v>7636</v>
      </c>
      <c r="G14" s="27">
        <v>7636</v>
      </c>
    </row>
    <row r="15" spans="2:8" ht="21.75" customHeight="1" x14ac:dyDescent="0.2">
      <c r="B15" s="32" t="s">
        <v>355</v>
      </c>
      <c r="G15" s="71">
        <f>G13/G14-1</f>
        <v>-0.14196473260763931</v>
      </c>
    </row>
    <row r="17" spans="2:8" ht="25.5" customHeight="1" x14ac:dyDescent="0.2">
      <c r="B17" s="89" t="s">
        <v>356</v>
      </c>
      <c r="C17" s="89"/>
      <c r="D17" s="89"/>
      <c r="E17" s="89"/>
      <c r="F17" s="89"/>
      <c r="G17" s="89"/>
      <c r="H17" s="89"/>
    </row>
    <row r="18" spans="2:8" ht="36" customHeight="1" x14ac:dyDescent="0.2">
      <c r="B18" s="3" t="s">
        <v>357</v>
      </c>
      <c r="C18" s="3"/>
      <c r="D18" s="3"/>
      <c r="E18" s="3"/>
      <c r="F18" s="3"/>
      <c r="G18" s="3"/>
      <c r="H18" s="3"/>
    </row>
    <row r="19" spans="2:8" ht="21.75" customHeight="1" x14ac:dyDescent="0.2">
      <c r="B19" s="23" t="s">
        <v>358</v>
      </c>
      <c r="C19" s="25" t="s">
        <v>338</v>
      </c>
      <c r="D19" s="25" t="s">
        <v>359</v>
      </c>
      <c r="E19" s="25" t="s">
        <v>360</v>
      </c>
      <c r="F19" s="24" t="s">
        <v>341</v>
      </c>
      <c r="G19" s="24" t="s">
        <v>342</v>
      </c>
    </row>
    <row r="20" spans="2:8" ht="19.5" customHeight="1" x14ac:dyDescent="0.2">
      <c r="B20" s="26" t="s">
        <v>361</v>
      </c>
      <c r="C20" s="67" t="s">
        <v>238</v>
      </c>
      <c r="D20" s="68">
        <v>30</v>
      </c>
      <c r="E20" s="40">
        <f>Inc_Statement!G11</f>
        <v>29580</v>
      </c>
      <c r="F20" s="33">
        <f>D20*E20</f>
        <v>887400</v>
      </c>
      <c r="G20" s="33">
        <f>F20/143.8</f>
        <v>6171.0709318497911</v>
      </c>
    </row>
    <row r="21" spans="2:8" ht="19.5" customHeight="1" x14ac:dyDescent="0.2">
      <c r="B21" s="26" t="s">
        <v>362</v>
      </c>
      <c r="C21" s="67" t="s">
        <v>238</v>
      </c>
      <c r="D21" s="39">
        <v>20</v>
      </c>
      <c r="E21" s="40">
        <f>Diag_AHLL!G12</f>
        <v>2255</v>
      </c>
      <c r="F21" s="33">
        <f>D21*E21</f>
        <v>45100</v>
      </c>
      <c r="G21" s="33">
        <f>F21/143.8</f>
        <v>313.63004172461751</v>
      </c>
    </row>
    <row r="22" spans="2:8" ht="21.75" customHeight="1" x14ac:dyDescent="0.2">
      <c r="B22" s="15" t="s">
        <v>363</v>
      </c>
      <c r="F22" s="49">
        <f>F20+F21</f>
        <v>932500</v>
      </c>
      <c r="G22" s="49">
        <f>F22/143.8</f>
        <v>6484.7009735744086</v>
      </c>
    </row>
    <row r="23" spans="2:8" ht="19.5" customHeight="1" x14ac:dyDescent="0.2">
      <c r="B23" s="26" t="s">
        <v>364</v>
      </c>
      <c r="F23" s="27">
        <v>-28000</v>
      </c>
    </row>
    <row r="24" spans="2:8" ht="19.5" customHeight="1" x14ac:dyDescent="0.2">
      <c r="B24" s="26" t="s">
        <v>365</v>
      </c>
      <c r="F24" s="27">
        <v>-4406</v>
      </c>
    </row>
    <row r="25" spans="2:8" ht="27.75" customHeight="1" x14ac:dyDescent="0.2">
      <c r="B25" s="72" t="s">
        <v>366</v>
      </c>
      <c r="F25" s="73">
        <f>F22+F23+F24</f>
        <v>900094</v>
      </c>
      <c r="G25" s="73">
        <f>F25/143.8</f>
        <v>6259.3463143254512</v>
      </c>
    </row>
    <row r="27" spans="2:8" ht="21.75" customHeight="1" x14ac:dyDescent="0.2">
      <c r="B27" s="90" t="s">
        <v>367</v>
      </c>
      <c r="C27" s="90"/>
      <c r="D27" s="90"/>
      <c r="E27" s="90"/>
      <c r="F27" s="90"/>
      <c r="G27" s="90"/>
      <c r="H27" s="90"/>
    </row>
    <row r="28" spans="2:8" ht="19.5" customHeight="1" x14ac:dyDescent="0.2">
      <c r="B28" s="26" t="s">
        <v>368</v>
      </c>
      <c r="C28" s="67" t="s">
        <v>346</v>
      </c>
      <c r="D28" s="39">
        <v>2</v>
      </c>
      <c r="E28" s="40">
        <f>Pharmacy_Hlth!G5</f>
        <v>108081</v>
      </c>
      <c r="F28" s="33">
        <f>D28*E28</f>
        <v>216162</v>
      </c>
      <c r="G28" s="33">
        <f>F28/143.8</f>
        <v>1503.2127955493741</v>
      </c>
    </row>
    <row r="29" spans="2:8" ht="19.5" customHeight="1" x14ac:dyDescent="0.2">
      <c r="B29" s="26" t="s">
        <v>369</v>
      </c>
      <c r="F29" s="27">
        <v>-11150</v>
      </c>
    </row>
    <row r="30" spans="2:8" ht="27.75" customHeight="1" x14ac:dyDescent="0.2">
      <c r="B30" s="74" t="s">
        <v>370</v>
      </c>
      <c r="F30" s="75">
        <f>F28+F29</f>
        <v>205012</v>
      </c>
      <c r="G30" s="75">
        <f>F30/143.8</f>
        <v>1425.67454798331</v>
      </c>
    </row>
    <row r="32" spans="2:8" ht="31.5" customHeight="1" x14ac:dyDescent="0.2">
      <c r="B32" s="91" t="s">
        <v>371</v>
      </c>
      <c r="C32" s="91"/>
      <c r="D32" s="91"/>
      <c r="E32" s="91"/>
      <c r="F32" s="76">
        <f>F25+F30</f>
        <v>1105106</v>
      </c>
      <c r="G32" s="76">
        <f>F32/143.8</f>
        <v>7685.0208623087619</v>
      </c>
    </row>
    <row r="33" spans="2:8" ht="19.5" customHeight="1" x14ac:dyDescent="0.2">
      <c r="B33" s="26" t="s">
        <v>372</v>
      </c>
      <c r="G33" s="27">
        <v>7636</v>
      </c>
    </row>
    <row r="34" spans="2:8" ht="25.5" customHeight="1" x14ac:dyDescent="0.2">
      <c r="B34" s="77" t="s">
        <v>373</v>
      </c>
      <c r="G34" s="78">
        <f>G32/G33-1</f>
        <v>6.4197043358775741E-3</v>
      </c>
    </row>
    <row r="36" spans="2:8" ht="90" customHeight="1" x14ac:dyDescent="0.2">
      <c r="B36" s="92" t="s">
        <v>374</v>
      </c>
      <c r="C36" s="92"/>
      <c r="D36" s="92"/>
      <c r="E36" s="92"/>
      <c r="F36" s="92"/>
      <c r="G36" s="92"/>
      <c r="H36" s="92"/>
    </row>
  </sheetData>
  <mergeCells count="8">
    <mergeCell ref="B27:H27"/>
    <mergeCell ref="B32:E32"/>
    <mergeCell ref="B36:H36"/>
    <mergeCell ref="B1:H1"/>
    <mergeCell ref="B2:H2"/>
    <mergeCell ref="B5:H5"/>
    <mergeCell ref="B17:H17"/>
    <mergeCell ref="B18:H18"/>
  </mergeCells>
  <pageMargins left="0.75" right="0.75" top="1" bottom="1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K34"/>
  <sheetViews>
    <sheetView zoomScale="63" zoomScaleNormal="63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11" width="13" customWidth="1"/>
  </cols>
  <sheetData>
    <row r="1" spans="1:11" ht="27.75" customHeight="1" x14ac:dyDescent="0.2">
      <c r="B1" s="14" t="s">
        <v>375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B2" s="13" t="s">
        <v>376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21.75" customHeight="1" x14ac:dyDescent="0.2">
      <c r="A3" s="23" t="s">
        <v>52</v>
      </c>
      <c r="B3" s="24"/>
      <c r="C3" s="24" t="s">
        <v>54</v>
      </c>
      <c r="D3" s="24" t="s">
        <v>55</v>
      </c>
      <c r="E3" s="24" t="s">
        <v>56</v>
      </c>
      <c r="F3" s="24" t="s">
        <v>57</v>
      </c>
      <c r="G3" s="24" t="s">
        <v>58</v>
      </c>
      <c r="H3" s="24" t="s">
        <v>59</v>
      </c>
      <c r="I3" s="24" t="s">
        <v>60</v>
      </c>
      <c r="J3" s="24" t="s">
        <v>61</v>
      </c>
      <c r="K3" s="24" t="s">
        <v>62</v>
      </c>
    </row>
    <row r="4" spans="1:11" ht="19.5" customHeight="1" x14ac:dyDescent="0.2">
      <c r="B4" s="12" t="s">
        <v>377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18" customHeight="1" x14ac:dyDescent="0.2">
      <c r="B5" s="79" t="s">
        <v>378</v>
      </c>
      <c r="C5" s="80">
        <f>Inc_Statement!C8</f>
        <v>146626</v>
      </c>
      <c r="D5" s="80">
        <f>Inc_Statement!D8</f>
        <v>166124</v>
      </c>
      <c r="E5" s="80">
        <f>Inc_Statement!E8</f>
        <v>190558</v>
      </c>
      <c r="F5" s="80">
        <f>Inc_Statement!F8</f>
        <v>217940</v>
      </c>
      <c r="G5" s="80">
        <f>Inc_Statement!G8</f>
        <v>252285</v>
      </c>
      <c r="H5" s="80">
        <f>Inc_Statement!H8</f>
        <v>289550</v>
      </c>
      <c r="I5" s="80">
        <f>Inc_Statement!I8</f>
        <v>330609</v>
      </c>
      <c r="J5" s="80">
        <f>Inc_Statement!J8</f>
        <v>373676</v>
      </c>
      <c r="K5" s="80">
        <f>Inc_Statement!K8</f>
        <v>415756</v>
      </c>
    </row>
    <row r="6" spans="1:11" ht="18" customHeight="1" x14ac:dyDescent="0.2">
      <c r="B6" s="79" t="s">
        <v>379</v>
      </c>
      <c r="C6" s="80">
        <f>Inc_Statement!C15</f>
        <v>21851</v>
      </c>
      <c r="D6" s="80">
        <f>Inc_Statement!D15</f>
        <v>20496</v>
      </c>
      <c r="E6" s="80">
        <f>Inc_Statement!E15</f>
        <v>23907</v>
      </c>
      <c r="F6" s="80">
        <f>Inc_Statement!F15</f>
        <v>30218</v>
      </c>
      <c r="G6" s="80">
        <f>Inc_Statement!G15</f>
        <v>37690</v>
      </c>
      <c r="H6" s="80">
        <f>Inc_Statement!H15</f>
        <v>39826</v>
      </c>
      <c r="I6" s="80">
        <f>Inc_Statement!I15</f>
        <v>47098</v>
      </c>
      <c r="J6" s="80">
        <f>Inc_Statement!J15</f>
        <v>54490</v>
      </c>
      <c r="K6" s="80">
        <f>Inc_Statement!K15</f>
        <v>61631</v>
      </c>
    </row>
    <row r="7" spans="1:11" ht="18" customHeight="1" x14ac:dyDescent="0.2">
      <c r="B7" s="79" t="s">
        <v>380</v>
      </c>
      <c r="C7" s="80">
        <f>Inc_Statement!C19</f>
        <v>15844</v>
      </c>
      <c r="D7" s="80">
        <f>Inc_Statement!D19</f>
        <v>14344</v>
      </c>
      <c r="E7" s="80">
        <f>Inc_Statement!E19</f>
        <v>17037</v>
      </c>
      <c r="F7" s="80">
        <f>Inc_Statement!F19</f>
        <v>22643</v>
      </c>
      <c r="G7" s="80">
        <f>Inc_Statement!G19</f>
        <v>28929</v>
      </c>
      <c r="H7" s="80">
        <f>Inc_Statement!H19</f>
        <v>30926</v>
      </c>
      <c r="I7" s="80">
        <f>Inc_Statement!I19</f>
        <v>37598</v>
      </c>
      <c r="J7" s="80">
        <f>Inc_Statement!J19</f>
        <v>44490</v>
      </c>
      <c r="K7" s="80">
        <f>Inc_Statement!K19</f>
        <v>51131</v>
      </c>
    </row>
    <row r="8" spans="1:11" ht="18" customHeight="1" x14ac:dyDescent="0.2">
      <c r="B8" s="79" t="s">
        <v>381</v>
      </c>
      <c r="C8" s="80">
        <f>Inc_Statement!C26</f>
        <v>10557</v>
      </c>
      <c r="D8" s="80">
        <f>Inc_Statement!D26</f>
        <v>8190</v>
      </c>
      <c r="E8" s="80">
        <f>Inc_Statement!E26</f>
        <v>8986</v>
      </c>
      <c r="F8" s="80">
        <f>Inc_Statement!F26</f>
        <v>14459</v>
      </c>
      <c r="G8" s="80">
        <f>Inc_Statement!G26</f>
        <v>19419</v>
      </c>
      <c r="H8" s="80">
        <f>Inc_Statement!H26</f>
        <v>20378</v>
      </c>
      <c r="I8" s="80">
        <f>Inc_Statement!I26</f>
        <v>25448</v>
      </c>
      <c r="J8" s="80">
        <f>Inc_Statement!J26</f>
        <v>30678</v>
      </c>
      <c r="K8" s="80">
        <f>Inc_Statement!K26</f>
        <v>35725</v>
      </c>
    </row>
    <row r="9" spans="1:11" ht="7.5" customHeight="1" x14ac:dyDescent="0.2"/>
    <row r="10" spans="1:11" ht="18" customHeight="1" x14ac:dyDescent="0.2">
      <c r="B10" s="32" t="s">
        <v>306</v>
      </c>
      <c r="C10" s="44">
        <f>IF(Inc_Statement!C8=0,"",Inc_Statement!C15/Inc_Statement!C8)</f>
        <v>0.14902541159139579</v>
      </c>
      <c r="D10" s="44">
        <f>IF(Inc_Statement!D8=0,"",Inc_Statement!D15/Inc_Statement!D8)</f>
        <v>0.12337771784931738</v>
      </c>
      <c r="E10" s="44">
        <f>IF(Inc_Statement!E8=0,"",Inc_Statement!E15/Inc_Statement!E8)</f>
        <v>0.12545786584661889</v>
      </c>
      <c r="F10" s="44">
        <f>IF(Inc_Statement!F8=0,"",Inc_Statement!F15/Inc_Statement!F8)</f>
        <v>0.13865284023125632</v>
      </c>
      <c r="G10" s="44">
        <f>IF(Inc_Statement!G8=0,"",Inc_Statement!G15/Inc_Statement!G8)</f>
        <v>0.14939453395960917</v>
      </c>
      <c r="H10" s="44">
        <f>IF(Inc_Statement!H8=0,"",Inc_Statement!H15/Inc_Statement!H8)</f>
        <v>0.13754446554999136</v>
      </c>
      <c r="I10" s="44">
        <f>IF(Inc_Statement!I8=0,"",Inc_Statement!I15/Inc_Statement!I8)</f>
        <v>0.1424583117821959</v>
      </c>
      <c r="J10" s="44">
        <f>IF(Inc_Statement!J8=0,"",Inc_Statement!J15/Inc_Statement!J8)</f>
        <v>0.14582151382481079</v>
      </c>
      <c r="K10" s="44">
        <f>IF(Inc_Statement!K8=0,"",Inc_Statement!K15/Inc_Statement!K8)</f>
        <v>0.14823838982480109</v>
      </c>
    </row>
    <row r="11" spans="1:11" ht="18" customHeight="1" x14ac:dyDescent="0.2">
      <c r="B11" s="26" t="s">
        <v>382</v>
      </c>
      <c r="C11" s="44">
        <f>IF(Inc_Statement!C8=0,"",Inc_Statement!C19/Inc_Statement!C8)</f>
        <v>0.10805723405125967</v>
      </c>
      <c r="D11" s="44">
        <f>IF(Inc_Statement!D8=0,"",Inc_Statement!D19/Inc_Statement!D8)</f>
        <v>8.6345139775107757E-2</v>
      </c>
      <c r="E11" s="44">
        <f>IF(Inc_Statement!E8=0,"",Inc_Statement!E19/Inc_Statement!E8)</f>
        <v>8.9405850187344538E-2</v>
      </c>
      <c r="F11" s="44">
        <f>IF(Inc_Statement!F8=0,"",Inc_Statement!F19/Inc_Statement!F8)</f>
        <v>0.10389556758740938</v>
      </c>
      <c r="G11" s="44">
        <f>IF(Inc_Statement!G8=0,"",Inc_Statement!G19/Inc_Statement!G8)</f>
        <v>0.11466793507342886</v>
      </c>
      <c r="H11" s="44">
        <f>IF(Inc_Statement!H8=0,"",Inc_Statement!H19/Inc_Statement!H8)</f>
        <v>0.10680711448799862</v>
      </c>
      <c r="I11" s="44">
        <f>IF(Inc_Statement!I8=0,"",Inc_Statement!I19/Inc_Statement!I8)</f>
        <v>0.11372346185373054</v>
      </c>
      <c r="J11" s="44">
        <f>IF(Inc_Statement!J8=0,"",Inc_Statement!J19/Inc_Statement!J8)</f>
        <v>0.11906036245303418</v>
      </c>
      <c r="K11" s="44">
        <f>IF(Inc_Statement!K8=0,"",Inc_Statement!K19/Inc_Statement!K8)</f>
        <v>0.12298319206457634</v>
      </c>
    </row>
    <row r="12" spans="1:11" ht="18" customHeight="1" x14ac:dyDescent="0.2">
      <c r="B12" s="26" t="s">
        <v>383</v>
      </c>
      <c r="C12" s="44">
        <f>IF(Inc_Statement!C8=0,"",Inc_Statement!C26/Inc_Statement!C8)</f>
        <v>7.1999508954755639E-2</v>
      </c>
      <c r="D12" s="44">
        <f>IF(Inc_Statement!D8=0,"",Inc_Statement!D26/Inc_Statement!D8)</f>
        <v>4.9300522501264113E-2</v>
      </c>
      <c r="E12" s="44">
        <f>IF(Inc_Statement!E8=0,"",Inc_Statement!E26/Inc_Statement!E8)</f>
        <v>4.7156246392174563E-2</v>
      </c>
      <c r="F12" s="44">
        <f>IF(Inc_Statement!F8=0,"",Inc_Statement!F26/Inc_Statement!F8)</f>
        <v>6.6343947875562082E-2</v>
      </c>
      <c r="G12" s="44">
        <f>IF(Inc_Statement!G8=0,"",Inc_Statement!G26/Inc_Statement!G8)</f>
        <v>7.6972471609489265E-2</v>
      </c>
      <c r="H12" s="44">
        <f>IF(Inc_Statement!H8=0,"",Inc_Statement!H26/Inc_Statement!H8)</f>
        <v>7.0378173027111038E-2</v>
      </c>
      <c r="I12" s="44">
        <f>IF(Inc_Statement!I8=0,"",Inc_Statement!I26/Inc_Statement!I8)</f>
        <v>7.6973101155745918E-2</v>
      </c>
      <c r="J12" s="44">
        <f>IF(Inc_Statement!J8=0,"",Inc_Statement!J26/Inc_Statement!J8)</f>
        <v>8.2097860178336313E-2</v>
      </c>
      <c r="K12" s="44">
        <f>IF(Inc_Statement!K8=0,"",Inc_Statement!K26/Inc_Statement!K8)</f>
        <v>8.5927803808002773E-2</v>
      </c>
    </row>
    <row r="13" spans="1:11" ht="7.5" customHeight="1" x14ac:dyDescent="0.2"/>
    <row r="14" spans="1:11" ht="18" customHeight="1" x14ac:dyDescent="0.2">
      <c r="B14" s="32" t="s">
        <v>384</v>
      </c>
      <c r="C14" s="44">
        <f>IF((Bal_Sheet!C7+Bal_Sheet!C8+Bal_Sheet!C9)=0,"",Inc_Statement!C19/(Bal_Sheet!C7+Bal_Sheet!C8+Bal_Sheet!C9))</f>
        <v>0.18563126816008998</v>
      </c>
      <c r="D14" s="44">
        <f>IF((Bal_Sheet!D7+Bal_Sheet!D8+Bal_Sheet!D9)=0,"",Inc_Statement!D19/(Bal_Sheet!D7+Bal_Sheet!D8+Bal_Sheet!D9))</f>
        <v>0.15521121883656511</v>
      </c>
      <c r="E14" s="44">
        <f>IF((Bal_Sheet!E7+Bal_Sheet!E8+Bal_Sheet!E9)=0,"",Inc_Statement!E19/(Bal_Sheet!E7+Bal_Sheet!E8+Bal_Sheet!E9))</f>
        <v>0.16252957338014196</v>
      </c>
      <c r="F14" s="44">
        <f>IF((Bal_Sheet!F7+Bal_Sheet!F8+Bal_Sheet!F9)=0,"",Inc_Statement!F19/(Bal_Sheet!F7+Bal_Sheet!F8+Bal_Sheet!F9))</f>
        <v>0.1625706305957022</v>
      </c>
      <c r="G14" s="44">
        <f>IF((Bal_Sheet!G7+Bal_Sheet!G8+Bal_Sheet!G9)=0,"",Inc_Statement!G19/(Bal_Sheet!G7+Bal_Sheet!G8+Bal_Sheet!G9))</f>
        <v>0.17997834959187736</v>
      </c>
      <c r="H14" s="44">
        <f>IF((Bal_Sheet!H7+Bal_Sheet!H8+Bal_Sheet!H9)=0,"",Inc_Statement!H19/(Bal_Sheet!H7+Bal_Sheet!H8+Bal_Sheet!H9))</f>
        <v>0.18539767038948737</v>
      </c>
      <c r="I14" s="44">
        <f>IF((Bal_Sheet!I7+Bal_Sheet!I8+Bal_Sheet!I9)=0,"",Inc_Statement!I19/(Bal_Sheet!I7+Bal_Sheet!I8+Bal_Sheet!I9))</f>
        <v>0.20155786787607821</v>
      </c>
      <c r="J14" s="44">
        <f>IF((Bal_Sheet!J7+Bal_Sheet!J8+Bal_Sheet!J9)=0,"",Inc_Statement!J19/(Bal_Sheet!J7+Bal_Sheet!J8+Bal_Sheet!J9))</f>
        <v>0.20936963222664062</v>
      </c>
      <c r="K14" s="44">
        <f>IF((Bal_Sheet!K7+Bal_Sheet!K8+Bal_Sheet!K9)=0,"",Inc_Statement!K19/(Bal_Sheet!K7+Bal_Sheet!K8+Bal_Sheet!K9))</f>
        <v>0.20998357289527722</v>
      </c>
    </row>
    <row r="15" spans="1:11" ht="18" customHeight="1" x14ac:dyDescent="0.2">
      <c r="B15" s="32" t="s">
        <v>385</v>
      </c>
      <c r="C15" s="44">
        <f>IF(Bal_Sheet!C7=0,"",Inc_Statement!C26/Bal_Sheet!C7)</f>
        <v>0.18700843194218097</v>
      </c>
      <c r="D15" s="44">
        <f>IF(Bal_Sheet!D7=0,"",Inc_Statement!D26/Bal_Sheet!D7)</f>
        <v>0.13215645775511523</v>
      </c>
      <c r="E15" s="44">
        <f>IF(Bal_Sheet!E7=0,"",Inc_Statement!E26/Bal_Sheet!E7)</f>
        <v>0.12956714825388585</v>
      </c>
      <c r="F15" s="44">
        <f>IF(Bal_Sheet!F7=0,"",Inc_Statement!F26/Bal_Sheet!F7)</f>
        <v>0.17606517053687762</v>
      </c>
      <c r="G15" s="44">
        <f>IF(Bal_Sheet!G7=0,"",Inc_Statement!G26/Bal_Sheet!G7)</f>
        <v>0.19468645044864405</v>
      </c>
      <c r="H15" s="44">
        <f>IF(Bal_Sheet!H7=0,"",Inc_Statement!H26/Bal_Sheet!H7)</f>
        <v>0.17066572866678392</v>
      </c>
      <c r="I15" s="44">
        <f>IF(Bal_Sheet!I7=0,"",Inc_Statement!I26/Bal_Sheet!I7)</f>
        <v>0.17656160021091924</v>
      </c>
      <c r="J15" s="44">
        <f>IF(Bal_Sheet!J7=0,"",Inc_Statement!J26/Bal_Sheet!J7)</f>
        <v>0.17622020920333853</v>
      </c>
      <c r="K15" s="44">
        <f>IF(Bal_Sheet!K7=0,"",Inc_Statement!K26/Bal_Sheet!K7)</f>
        <v>0.17085616995227026</v>
      </c>
    </row>
    <row r="16" spans="1:11" ht="18" customHeight="1" x14ac:dyDescent="0.2">
      <c r="B16" s="26" t="s">
        <v>386</v>
      </c>
      <c r="C16" s="81">
        <f>IF(Bal_Sheet!C24=0,"",Inc_Statement!C8/Bal_Sheet!C24)</f>
        <v>1.4112087467878076</v>
      </c>
      <c r="D16" s="81">
        <f>IF(Bal_Sheet!D24=0,"",Inc_Statement!D8/Bal_Sheet!D24)</f>
        <v>1.4872203471768382</v>
      </c>
      <c r="E16" s="81">
        <f>IF(Bal_Sheet!E24=0,"",Inc_Statement!E8/Bal_Sheet!E24)</f>
        <v>1.4768846830508344</v>
      </c>
      <c r="F16" s="81">
        <f>IF(Bal_Sheet!F24=0,"",Inc_Statement!F8/Bal_Sheet!F24)</f>
        <v>1.2982742495636479</v>
      </c>
      <c r="G16" s="81">
        <f>IF(Bal_Sheet!G24=0,"",Inc_Statement!G8/Bal_Sheet!G24)</f>
        <v>1.0846209404906235</v>
      </c>
      <c r="H16" s="81">
        <f>IF(Bal_Sheet!H24=0,"",Inc_Statement!H8/Bal_Sheet!H24)</f>
        <v>1.6739219665042173</v>
      </c>
      <c r="I16" s="81">
        <f>IF(Bal_Sheet!I24=0,"",Inc_Statement!I8/Bal_Sheet!I24)</f>
        <v>1.8709233825102287</v>
      </c>
      <c r="J16" s="81">
        <f>IF(Bal_Sheet!J24=0,"",Inc_Statement!J8/Bal_Sheet!J24)</f>
        <v>2.0837106595588071</v>
      </c>
      <c r="K16" s="81">
        <f>IF(Bal_Sheet!K24=0,"",Inc_Statement!K8/Bal_Sheet!K24)</f>
        <v>2.2855289486993424</v>
      </c>
    </row>
    <row r="17" spans="2:11" ht="7.5" customHeight="1" x14ac:dyDescent="0.2"/>
    <row r="18" spans="2:11" ht="19.5" customHeight="1" x14ac:dyDescent="0.2">
      <c r="B18" s="12" t="s">
        <v>387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2:11" ht="18" customHeight="1" x14ac:dyDescent="0.2">
      <c r="B19" s="79" t="s">
        <v>388</v>
      </c>
      <c r="C19" s="80">
        <f>Cash_Flow!C22</f>
        <v>9638</v>
      </c>
      <c r="D19" s="80">
        <f>Cash_Flow!D22</f>
        <v>2486</v>
      </c>
      <c r="E19" s="80">
        <f>Cash_Flow!E22</f>
        <v>7853</v>
      </c>
      <c r="F19" s="80">
        <f>Cash_Flow!F22</f>
        <v>4386</v>
      </c>
      <c r="G19" s="80">
        <f>Cash_Flow!G22</f>
        <v>8937</v>
      </c>
      <c r="H19" s="80">
        <f>Cash_Flow!H22</f>
        <v>10306.98</v>
      </c>
      <c r="I19" s="80">
        <f>Cash_Flow!I22</f>
        <v>16185.54</v>
      </c>
      <c r="J19" s="80">
        <f>Cash_Flow!J22</f>
        <v>20882.699999999997</v>
      </c>
      <c r="K19" s="80">
        <f>Cash_Flow!K22</f>
        <v>24402.629999999997</v>
      </c>
    </row>
    <row r="20" spans="2:11" ht="7.5" customHeight="1" x14ac:dyDescent="0.2"/>
    <row r="21" spans="2:11" ht="18" customHeight="1" x14ac:dyDescent="0.2">
      <c r="B21" s="32" t="s">
        <v>389</v>
      </c>
      <c r="C21" s="44">
        <f>IF(Inc_Statement!C8=0,"",Cash_Flow!C22/Inc_Statement!C8)</f>
        <v>6.5731862016286335E-2</v>
      </c>
      <c r="D21" s="44">
        <f>IF(Inc_Statement!D8=0,"",Cash_Flow!D22/Inc_Statement!D8)</f>
        <v>1.4964725145072355E-2</v>
      </c>
      <c r="E21" s="44">
        <f>IF(Inc_Statement!E8=0,"",Cash_Flow!E22/Inc_Statement!E8)</f>
        <v>4.1210550068745473E-2</v>
      </c>
      <c r="F21" s="44">
        <f>IF(Inc_Statement!F8=0,"",Cash_Flow!F22/Inc_Statement!F8)</f>
        <v>2.0124804992199687E-2</v>
      </c>
      <c r="G21" s="44">
        <f>IF(Inc_Statement!G8=0,"",Cash_Flow!G22/Inc_Statement!G8)</f>
        <v>3.5424222605386767E-2</v>
      </c>
      <c r="H21" s="44">
        <f>IF(Inc_Statement!H8=0,"",Cash_Flow!H22/Inc_Statement!H8)</f>
        <v>3.5596546365049213E-2</v>
      </c>
      <c r="I21" s="44">
        <f>IF(Inc_Statement!I8=0,"",Cash_Flow!I22/Inc_Statement!I8)</f>
        <v>4.8956743464334006E-2</v>
      </c>
      <c r="J21" s="44">
        <f>IF(Inc_Statement!J8=0,"",Cash_Flow!J22/Inc_Statement!J8)</f>
        <v>5.5884509575139955E-2</v>
      </c>
      <c r="K21" s="44">
        <f>IF(Inc_Statement!K8=0,"",Cash_Flow!K22/Inc_Statement!K8)</f>
        <v>5.8694594906627921E-2</v>
      </c>
    </row>
    <row r="22" spans="2:11" ht="18" customHeight="1" x14ac:dyDescent="0.2">
      <c r="B22" s="32" t="s">
        <v>390</v>
      </c>
      <c r="C22" s="44">
        <f>IF(Inc_Statement!C15=0,"",Cash_Flow!C22/Inc_Statement!C15)</f>
        <v>0.44107821152350007</v>
      </c>
      <c r="D22" s="44">
        <f>IF(Inc_Statement!D15=0,"",Cash_Flow!D22/Inc_Statement!D15)</f>
        <v>0.1212919594067135</v>
      </c>
      <c r="E22" s="44">
        <f>IF(Inc_Statement!E15=0,"",Cash_Flow!E22/Inc_Statement!E15)</f>
        <v>0.32848119797548836</v>
      </c>
      <c r="F22" s="44">
        <f>IF(Inc_Statement!F15=0,"",Cash_Flow!F22/Inc_Statement!F15)</f>
        <v>0.14514527764908333</v>
      </c>
      <c r="G22" s="44">
        <f>IF(Inc_Statement!G15=0,"",Cash_Flow!G22/Inc_Statement!G15)</f>
        <v>0.23711859909790395</v>
      </c>
      <c r="H22" s="44">
        <f>IF(Inc_Statement!H15=0,"",Cash_Flow!H22/Inc_Statement!H15)</f>
        <v>0.25880028122332144</v>
      </c>
      <c r="I22" s="44">
        <f>IF(Inc_Statement!I15=0,"",Cash_Flow!I22/Inc_Statement!I15)</f>
        <v>0.34365663085481341</v>
      </c>
      <c r="J22" s="44">
        <f>IF(Inc_Statement!J15=0,"",Cash_Flow!J22/Inc_Statement!J15)</f>
        <v>0.38323912644521924</v>
      </c>
      <c r="K22" s="44">
        <f>IF(Inc_Statement!K15=0,"",Cash_Flow!K22/Inc_Statement!K15)</f>
        <v>0.39594733169995616</v>
      </c>
    </row>
    <row r="23" spans="2:11" ht="7.5" customHeight="1" x14ac:dyDescent="0.2"/>
    <row r="24" spans="2:11" ht="18" customHeight="1" x14ac:dyDescent="0.2">
      <c r="B24" s="79" t="s">
        <v>391</v>
      </c>
      <c r="C24" s="80">
        <f>IF(Inc_Statement!C19=0,"",ROUND(Inc_Statement!C19*(1-Inc_Statement!C24/IF(Inc_Statement!C23=0,1,Inc_Statement!C23))+Inc_Statement!C18+Cash_Flow!C8-ABS(Cash_Flow!C12),0))</f>
        <v>5914</v>
      </c>
      <c r="D24" s="80">
        <f>IF(Inc_Statement!D19=0,"",ROUND(Inc_Statement!D19*(1-Inc_Statement!D24/IF(Inc_Statement!D23=0,1,Inc_Statement!D23))+Inc_Statement!D18+Cash_Flow!D8-ABS(Cash_Flow!D12),0))</f>
        <v>1498</v>
      </c>
      <c r="E24" s="80">
        <f>IF(Inc_Statement!E19=0,"",ROUND(Inc_Statement!E19*(1-Inc_Statement!E24/IF(Inc_Statement!E23=0,1,Inc_Statement!E23))+Inc_Statement!E18+Cash_Flow!E8-ABS(Cash_Flow!E12),0))</f>
        <v>5059</v>
      </c>
      <c r="F24" s="80">
        <f>IF(Inc_Statement!F19=0,"",ROUND(Inc_Statement!F19*(1-Inc_Statement!F24/IF(Inc_Statement!F23=0,1,Inc_Statement!F23))+Inc_Statement!F18+Cash_Flow!F8-ABS(Cash_Flow!F12),0))</f>
        <v>1174</v>
      </c>
      <c r="G24" s="80">
        <f>IF(Inc_Statement!G19=0,"",ROUND(Inc_Statement!G19*(1-Inc_Statement!G24/IF(Inc_Statement!G23=0,1,Inc_Statement!G23))+Inc_Statement!G18+Cash_Flow!G8-ABS(Cash_Flow!G12),0))</f>
        <v>5214</v>
      </c>
      <c r="H24" s="80">
        <f>IF(Inc_Statement!H19=0,"",ROUND(Inc_Statement!H19*(1-Inc_Statement!H24/IF(Inc_Statement!H23=0,1,Inc_Statement!H23))+Inc_Statement!H18+Cash_Flow!H8-ABS(Cash_Flow!H12),0))</f>
        <v>15953</v>
      </c>
      <c r="I24" s="80">
        <f>IF(Inc_Statement!I19=0,"",ROUND(Inc_Statement!I19*(1-Inc_Statement!I24/IF(Inc_Statement!I23=0,1,Inc_Statement!I23))+Inc_Statement!I18+Cash_Flow!I8-ABS(Cash_Flow!I12),0))</f>
        <v>23715</v>
      </c>
      <c r="J24" s="80">
        <f>IF(Inc_Statement!J19=0,"",ROUND(Inc_Statement!J19*(1-Inc_Statement!J24/IF(Inc_Statement!J23=0,1,Inc_Statement!J23))+Inc_Statement!J18+Cash_Flow!J8-ABS(Cash_Flow!J12),0))</f>
        <v>30355</v>
      </c>
      <c r="K24" s="80">
        <f>IF(Inc_Statement!K19=0,"",ROUND(Inc_Statement!K19*(1-Inc_Statement!K24/IF(Inc_Statement!K23=0,1,Inc_Statement!K23))+Inc_Statement!K18+Cash_Flow!K8-ABS(Cash_Flow!K12),0))</f>
        <v>35750</v>
      </c>
    </row>
    <row r="25" spans="2:11" ht="18" customHeight="1" x14ac:dyDescent="0.2">
      <c r="B25" s="32" t="s">
        <v>392</v>
      </c>
      <c r="C25" s="44">
        <f>IF(Inc_Statement!C8=0,"",ROUND(Inc_Statement!C19*(1-Inc_Statement!C24/IF(Inc_Statement!C23=0,1,Inc_Statement!C23))+Inc_Statement!C18+Cash_Flow!C8-ABS(Cash_Flow!C12),0)/Inc_Statement!C8)</f>
        <v>4.0333910766166985E-2</v>
      </c>
      <c r="D25" s="44">
        <f>IF(Inc_Statement!D8=0,"",ROUND(Inc_Statement!D19*(1-Inc_Statement!D24/IF(Inc_Statement!D23=0,1,Inc_Statement!D23))+Inc_Statement!D18+Cash_Flow!D8-ABS(Cash_Flow!D12),0)/Inc_Statement!D8)</f>
        <v>9.0173605258722402E-3</v>
      </c>
      <c r="E25" s="44">
        <f>IF(Inc_Statement!E8=0,"",ROUND(Inc_Statement!E19*(1-Inc_Statement!E24/IF(Inc_Statement!E23=0,1,Inc_Statement!E23))+Inc_Statement!E18+Cash_Flow!E8-ABS(Cash_Flow!E12),0)/Inc_Statement!E8)</f>
        <v>2.6548347484755298E-2</v>
      </c>
      <c r="F25" s="44">
        <f>IF(Inc_Statement!F8=0,"",ROUND(Inc_Statement!F19*(1-Inc_Statement!F24/IF(Inc_Statement!F23=0,1,Inc_Statement!F23))+Inc_Statement!F18+Cash_Flow!F8-ABS(Cash_Flow!F12),0)/Inc_Statement!F8)</f>
        <v>5.3868037074424153E-3</v>
      </c>
      <c r="G25" s="44">
        <f>IF(Inc_Statement!G8=0,"",ROUND(Inc_Statement!G19*(1-Inc_Statement!G24/IF(Inc_Statement!G23=0,1,Inc_Statement!G23))+Inc_Statement!G18+Cash_Flow!G8-ABS(Cash_Flow!G12),0)/Inc_Statement!G8)</f>
        <v>2.0667102681491172E-2</v>
      </c>
      <c r="H25" s="44">
        <f>IF(Inc_Statement!H8=0,"",ROUND(Inc_Statement!H19*(1-Inc_Statement!H24/IF(Inc_Statement!H23=0,1,Inc_Statement!H23))+Inc_Statement!H18+Cash_Flow!H8-ABS(Cash_Flow!H12),0)/Inc_Statement!H8)</f>
        <v>5.5095838369884305E-2</v>
      </c>
      <c r="I25" s="44">
        <f>IF(Inc_Statement!I8=0,"",ROUND(Inc_Statement!I19*(1-Inc_Statement!I24/IF(Inc_Statement!I23=0,1,Inc_Statement!I23))+Inc_Statement!I18+Cash_Flow!I8-ABS(Cash_Flow!I12),0)/Inc_Statement!I8)</f>
        <v>7.1731259584584817E-2</v>
      </c>
      <c r="J25" s="44">
        <f>IF(Inc_Statement!J8=0,"",ROUND(Inc_Statement!J19*(1-Inc_Statement!J24/IF(Inc_Statement!J23=0,1,Inc_Statement!J23))+Inc_Statement!J18+Cash_Flow!J8-ABS(Cash_Flow!J12),0)/Inc_Statement!J8)</f>
        <v>8.1233474989027929E-2</v>
      </c>
      <c r="K25" s="44">
        <f>IF(Inc_Statement!K8=0,"",ROUND(Inc_Statement!K19*(1-Inc_Statement!K24/IF(Inc_Statement!K23=0,1,Inc_Statement!K23))+Inc_Statement!K18+Cash_Flow!K8-ABS(Cash_Flow!K12),0)/Inc_Statement!K8)</f>
        <v>8.5987935231241402E-2</v>
      </c>
    </row>
    <row r="26" spans="2:11" ht="7.5" customHeight="1" x14ac:dyDescent="0.2"/>
    <row r="27" spans="2:11" ht="19.5" customHeight="1" x14ac:dyDescent="0.2">
      <c r="B27" s="12" t="s">
        <v>393</v>
      </c>
      <c r="C27" s="12"/>
      <c r="D27" s="12"/>
      <c r="E27" s="12"/>
      <c r="F27" s="12"/>
      <c r="G27" s="12"/>
      <c r="H27" s="12"/>
      <c r="I27" s="12"/>
      <c r="J27" s="12"/>
      <c r="K27" s="12"/>
    </row>
    <row r="28" spans="2:11" ht="18" customHeight="1" x14ac:dyDescent="0.2">
      <c r="B28" s="79" t="s">
        <v>394</v>
      </c>
      <c r="C28" s="80">
        <f>Bal_Sheet!C9+Bal_Sheet!C10-Bal_Sheet!C20</f>
        <v>29331</v>
      </c>
      <c r="D28" s="80">
        <f>Bal_Sheet!D9+Bal_Sheet!D10-Bal_Sheet!D20</f>
        <v>34328</v>
      </c>
      <c r="E28" s="80">
        <f>Bal_Sheet!E9+Bal_Sheet!E10-Bal_Sheet!E20</f>
        <v>42095</v>
      </c>
      <c r="F28" s="80">
        <f>Bal_Sheet!F9+Bal_Sheet!F10-Bal_Sheet!F20</f>
        <v>63289</v>
      </c>
      <c r="G28" s="80">
        <f>Bal_Sheet!G9+Bal_Sheet!G10-Bal_Sheet!G20</f>
        <v>60252</v>
      </c>
      <c r="H28" s="80">
        <f>Bal_Sheet!H9+Bal_Sheet!H10-Bal_Sheet!H20</f>
        <v>54000</v>
      </c>
      <c r="I28" s="80">
        <f>Bal_Sheet!I9+Bal_Sheet!I10-Bal_Sheet!I20</f>
        <v>47000</v>
      </c>
      <c r="J28" s="80">
        <f>Bal_Sheet!J9+Bal_Sheet!J10-Bal_Sheet!J20</f>
        <v>41000</v>
      </c>
      <c r="K28" s="80">
        <f>Bal_Sheet!K9+Bal_Sheet!K10-Bal_Sheet!K20</f>
        <v>34500</v>
      </c>
    </row>
    <row r="29" spans="2:11" ht="7.5" customHeight="1" x14ac:dyDescent="0.2"/>
    <row r="30" spans="2:11" ht="18" customHeight="1" x14ac:dyDescent="0.2">
      <c r="B30" s="32" t="s">
        <v>395</v>
      </c>
      <c r="C30" s="82">
        <f>IF(Inc_Statement!C15=0,"",(Bal_Sheet!C9+Bal_Sheet!C10-Bal_Sheet!C20)/Inc_Statement!C15)</f>
        <v>1.3423184293625006</v>
      </c>
      <c r="D30" s="82">
        <f>IF(Inc_Statement!D15=0,"",(Bal_Sheet!D9+Bal_Sheet!D10-Bal_Sheet!D20)/Inc_Statement!D15)</f>
        <v>1.674863387978142</v>
      </c>
      <c r="E30" s="82">
        <f>IF(Inc_Statement!E15=0,"",(Bal_Sheet!E9+Bal_Sheet!E10-Bal_Sheet!E20)/Inc_Statement!E15)</f>
        <v>1.7607813611076253</v>
      </c>
      <c r="F30" s="82">
        <f>IF(Inc_Statement!F15=0,"",(Bal_Sheet!F9+Bal_Sheet!F10-Bal_Sheet!F20)/Inc_Statement!F15)</f>
        <v>2.0944139254748824</v>
      </c>
      <c r="G30" s="82">
        <f>IF(Inc_Statement!G15=0,"",(Bal_Sheet!G9+Bal_Sheet!G10-Bal_Sheet!G20)/Inc_Statement!G15)</f>
        <v>1.5986203236932874</v>
      </c>
      <c r="H30" s="82">
        <f>IF(Inc_Statement!H15=0,"",(Bal_Sheet!H9+Bal_Sheet!H10-Bal_Sheet!H20)/Inc_Statement!H15)</f>
        <v>1.3558981569828754</v>
      </c>
      <c r="I30" s="82">
        <f>IF(Inc_Statement!I15=0,"",(Bal_Sheet!I9+Bal_Sheet!I10-Bal_Sheet!I20)/Inc_Statement!I15)</f>
        <v>0.9979192322391609</v>
      </c>
      <c r="J30" s="82">
        <f>IF(Inc_Statement!J15=0,"",(Bal_Sheet!J9+Bal_Sheet!J10-Bal_Sheet!J20)/Inc_Statement!J15)</f>
        <v>0.75243163883281339</v>
      </c>
      <c r="K30" s="82">
        <f>IF(Inc_Statement!K15=0,"",(Bal_Sheet!K9+Bal_Sheet!K10-Bal_Sheet!K20)/Inc_Statement!K15)</f>
        <v>0.5597832259739417</v>
      </c>
    </row>
    <row r="31" spans="2:11" ht="18" customHeight="1" x14ac:dyDescent="0.2">
      <c r="B31" s="26" t="s">
        <v>396</v>
      </c>
      <c r="C31" s="81">
        <f>IF(Bal_Sheet!C7=0,"",Bal_Sheet!C9/Bal_Sheet!C7)</f>
        <v>0.46689222702472899</v>
      </c>
      <c r="D31" s="81">
        <f>IF(Bal_Sheet!D7=0,"",Bal_Sheet!D9/Bal_Sheet!D7)</f>
        <v>0.43734267088362488</v>
      </c>
      <c r="E31" s="81">
        <f>IF(Bal_Sheet!E7=0,"",Bal_Sheet!E9/Bal_Sheet!E7)</f>
        <v>0.4559073737635897</v>
      </c>
      <c r="F31" s="81">
        <f>IF(Bal_Sheet!F7=0,"",Bal_Sheet!F9/Bal_Sheet!F7)</f>
        <v>0.64235354285644708</v>
      </c>
      <c r="G31" s="81">
        <f>IF(Bal_Sheet!G7=0,"",Bal_Sheet!G9/Bal_Sheet!G7)</f>
        <v>0.56729660634618273</v>
      </c>
      <c r="H31" s="81">
        <f>IF(Bal_Sheet!H7=0,"",Bal_Sheet!H9/Bal_Sheet!H7)</f>
        <v>0.36012495498438063</v>
      </c>
      <c r="I31" s="81">
        <f>IF(Bal_Sheet!I7=0,"",Bal_Sheet!I9/Bal_Sheet!I7)</f>
        <v>0.26364904149697149</v>
      </c>
      <c r="J31" s="81">
        <f>IF(Bal_Sheet!J7=0,"",Bal_Sheet!J9/Bal_Sheet!J7)</f>
        <v>0.19530240279397321</v>
      </c>
      <c r="K31" s="81">
        <f>IF(Bal_Sheet!K7=0,"",Bal_Sheet!K9/Bal_Sheet!K7)</f>
        <v>0.14347613991793165</v>
      </c>
    </row>
    <row r="32" spans="2:11" ht="18" customHeight="1" x14ac:dyDescent="0.2">
      <c r="B32" s="32" t="s">
        <v>397</v>
      </c>
      <c r="C32" s="82">
        <f>IF(Inc_Statement!C21=0,"",Inc_Statement!C19/ABS(Inc_Statement!C21))</f>
        <v>4.1848917062863178</v>
      </c>
      <c r="D32" s="82">
        <f>IF(Inc_Statement!D21=0,"",Inc_Statement!D19/ABS(Inc_Statement!D21))</f>
        <v>3.7668067226890756</v>
      </c>
      <c r="E32" s="82">
        <f>IF(Inc_Statement!E21=0,"",Inc_Statement!E19/ABS(Inc_Statement!E21))</f>
        <v>3.7910547396528704</v>
      </c>
      <c r="F32" s="82">
        <f>IF(Inc_Statement!F21=0,"",Inc_Statement!F19/ABS(Inc_Statement!F21))</f>
        <v>4.9384950926935662</v>
      </c>
      <c r="G32" s="82">
        <f>IF(Inc_Statement!G21=0,"",Inc_Statement!G19/ABS(Inc_Statement!G21))</f>
        <v>6.4343861209964412</v>
      </c>
      <c r="H32" s="82">
        <f>IF(Inc_Statement!H21=0,"",Inc_Statement!H19/ABS(Inc_Statement!H21))</f>
        <v>7.3633333333333333</v>
      </c>
      <c r="I32" s="82">
        <f>IF(Inc_Statement!I21=0,"",Inc_Statement!I19/ABS(Inc_Statement!I21))</f>
        <v>9.3994999999999997</v>
      </c>
      <c r="J32" s="82">
        <f>IF(Inc_Statement!J21=0,"",Inc_Statement!J19/ABS(Inc_Statement!J21))</f>
        <v>11.707894736842105</v>
      </c>
      <c r="K32" s="82">
        <f>IF(Inc_Statement!K21=0,"",Inc_Statement!K19/ABS(Inc_Statement!K21))</f>
        <v>14.203055555555556</v>
      </c>
    </row>
    <row r="33" spans="2:11" ht="7.5" customHeight="1" x14ac:dyDescent="0.2"/>
    <row r="34" spans="2:11" ht="36" customHeight="1" x14ac:dyDescent="0.2">
      <c r="B34" s="5" t="s">
        <v>398</v>
      </c>
      <c r="C34" s="5"/>
      <c r="D34" s="5"/>
      <c r="E34" s="5"/>
      <c r="F34" s="5"/>
      <c r="G34" s="5"/>
      <c r="H34" s="5"/>
      <c r="I34" s="5"/>
      <c r="J34" s="5"/>
      <c r="K34" s="5"/>
    </row>
  </sheetData>
  <mergeCells count="6">
    <mergeCell ref="B34:K34"/>
    <mergeCell ref="B1:K1"/>
    <mergeCell ref="B2:K2"/>
    <mergeCell ref="B4:K4"/>
    <mergeCell ref="B18:K18"/>
    <mergeCell ref="B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G41"/>
  <sheetViews>
    <sheetView zoomScale="138" zoomScaleNormal="138" workbookViewId="0">
      <pane xSplit="2" ySplit="4" topLeftCell="C14" activePane="bottomRight" state="frozen"/>
      <selection pane="topRight" activeCell="C1" sqref="C1"/>
      <selection pane="bottomLeft" activeCell="A20" sqref="A20"/>
      <selection pane="bottomRight" activeCell="C25" sqref="C25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7" width="18" customWidth="1"/>
    <col min="8" max="8" width="2" customWidth="1"/>
  </cols>
  <sheetData>
    <row r="1" spans="2:7" ht="27.75" customHeight="1" x14ac:dyDescent="0.2">
      <c r="B1" s="14" t="s">
        <v>399</v>
      </c>
      <c r="C1" s="14"/>
      <c r="D1" s="14"/>
      <c r="E1" s="14"/>
      <c r="F1" s="14"/>
      <c r="G1" s="14"/>
    </row>
    <row r="2" spans="2:7" ht="27.75" customHeight="1" x14ac:dyDescent="0.2">
      <c r="B2" s="5" t="s">
        <v>400</v>
      </c>
      <c r="C2" s="5"/>
      <c r="D2" s="5"/>
      <c r="E2" s="5"/>
      <c r="F2" s="5"/>
      <c r="G2" s="5"/>
    </row>
    <row r="4" spans="2:7" ht="21.75" customHeight="1" x14ac:dyDescent="0.2">
      <c r="B4" s="17" t="s">
        <v>401</v>
      </c>
      <c r="C4" s="24" t="s">
        <v>402</v>
      </c>
      <c r="D4" s="24" t="s">
        <v>403</v>
      </c>
      <c r="E4" s="24" t="s">
        <v>404</v>
      </c>
      <c r="F4" s="24" t="s">
        <v>405</v>
      </c>
    </row>
    <row r="5" spans="2:7" ht="19.5" customHeight="1" x14ac:dyDescent="0.2">
      <c r="B5" s="12" t="s">
        <v>406</v>
      </c>
      <c r="C5" s="12"/>
      <c r="D5" s="12"/>
      <c r="E5" s="12"/>
      <c r="F5" s="12"/>
      <c r="G5" s="12"/>
    </row>
    <row r="6" spans="2:7" ht="18" customHeight="1" x14ac:dyDescent="0.2">
      <c r="B6" s="83" t="s">
        <v>236</v>
      </c>
    </row>
    <row r="7" spans="2:7" ht="18" customHeight="1" x14ac:dyDescent="0.2">
      <c r="B7" s="84" t="s">
        <v>407</v>
      </c>
      <c r="C7" s="85">
        <v>-2.1000000000000001E-2</v>
      </c>
      <c r="D7" s="85">
        <v>5.8000000000000003E-2</v>
      </c>
      <c r="E7" s="85">
        <v>9.1999999999999998E-2</v>
      </c>
      <c r="F7" s="85">
        <v>0.114</v>
      </c>
    </row>
    <row r="8" spans="2:7" ht="18" customHeight="1" x14ac:dyDescent="0.2">
      <c r="B8" s="26" t="s">
        <v>408</v>
      </c>
      <c r="C8" s="86">
        <v>2.4E-2</v>
      </c>
      <c r="D8" s="86">
        <v>8.1000000000000003E-2</v>
      </c>
      <c r="E8" s="86">
        <v>0.113</v>
      </c>
      <c r="F8" s="86">
        <v>0.13500000000000001</v>
      </c>
    </row>
    <row r="9" spans="2:7" ht="18" customHeight="1" x14ac:dyDescent="0.2">
      <c r="B9" s="26" t="s">
        <v>409</v>
      </c>
      <c r="C9" s="86">
        <v>3.5999999999999997E-2</v>
      </c>
      <c r="D9" s="86">
        <v>9.1999999999999998E-2</v>
      </c>
      <c r="E9" s="86">
        <v>0.108</v>
      </c>
      <c r="F9" s="86">
        <v>0.121</v>
      </c>
    </row>
    <row r="10" spans="2:7" ht="18" customHeight="1" x14ac:dyDescent="0.2">
      <c r="B10" s="26" t="s">
        <v>410</v>
      </c>
      <c r="C10" s="86">
        <v>-1.7999999999999999E-2</v>
      </c>
      <c r="D10" s="86">
        <v>4.2999999999999997E-2</v>
      </c>
      <c r="E10" s="86">
        <v>6.9000000000000006E-2</v>
      </c>
      <c r="F10" s="86">
        <v>8.4000000000000005E-2</v>
      </c>
    </row>
    <row r="11" spans="2:7" ht="18" customHeight="1" x14ac:dyDescent="0.2">
      <c r="B11" s="26" t="s">
        <v>411</v>
      </c>
      <c r="C11" s="86">
        <v>5.1999999999999998E-2</v>
      </c>
      <c r="D11" s="86">
        <v>7.3999999999999996E-2</v>
      </c>
      <c r="E11" s="86">
        <v>8.3000000000000004E-2</v>
      </c>
      <c r="F11" s="86">
        <v>9.7000000000000003E-2</v>
      </c>
    </row>
    <row r="12" spans="2:7" ht="18" customHeight="1" x14ac:dyDescent="0.2">
      <c r="B12" s="26" t="s">
        <v>412</v>
      </c>
      <c r="C12" s="86">
        <v>8.0000000000000002E-3</v>
      </c>
      <c r="D12" s="86">
        <v>3.2000000000000001E-2</v>
      </c>
      <c r="E12" s="86">
        <v>5.0999999999999997E-2</v>
      </c>
      <c r="F12" s="86">
        <v>6.3E-2</v>
      </c>
    </row>
    <row r="14" spans="2:7" ht="19.5" customHeight="1" x14ac:dyDescent="0.2">
      <c r="B14" s="12" t="s">
        <v>413</v>
      </c>
      <c r="C14" s="12"/>
      <c r="D14" s="12"/>
      <c r="E14" s="12"/>
      <c r="F14" s="12"/>
      <c r="G14" s="12"/>
    </row>
    <row r="15" spans="2:7" ht="18" customHeight="1" x14ac:dyDescent="0.2">
      <c r="B15" s="83" t="s">
        <v>236</v>
      </c>
    </row>
    <row r="16" spans="2:7" ht="18" customHeight="1" x14ac:dyDescent="0.2">
      <c r="B16" s="84" t="s">
        <v>407</v>
      </c>
      <c r="C16" s="85">
        <v>0.13500000000000001</v>
      </c>
      <c r="D16" s="85">
        <v>0.16900000000000001</v>
      </c>
      <c r="E16" s="85">
        <v>0.192</v>
      </c>
      <c r="F16" s="85">
        <v>0.20399999999999999</v>
      </c>
    </row>
    <row r="17" spans="2:7" ht="18" customHeight="1" x14ac:dyDescent="0.2">
      <c r="B17" s="26" t="s">
        <v>408</v>
      </c>
      <c r="C17" s="86">
        <v>0.20599999999999999</v>
      </c>
      <c r="D17" s="86">
        <v>0.25800000000000001</v>
      </c>
      <c r="E17" s="86">
        <v>0.27400000000000002</v>
      </c>
      <c r="F17" s="86">
        <v>0.28499999999999998</v>
      </c>
    </row>
    <row r="18" spans="2:7" ht="18" customHeight="1" x14ac:dyDescent="0.2">
      <c r="B18" s="26" t="s">
        <v>409</v>
      </c>
      <c r="C18" s="86">
        <v>0.16800000000000001</v>
      </c>
      <c r="D18" s="86">
        <v>0.21299999999999999</v>
      </c>
      <c r="E18" s="86">
        <v>0.22800000000000001</v>
      </c>
      <c r="F18" s="86">
        <v>0.23899999999999999</v>
      </c>
    </row>
    <row r="19" spans="2:7" ht="18" customHeight="1" x14ac:dyDescent="0.2">
      <c r="B19" s="26" t="s">
        <v>410</v>
      </c>
      <c r="C19" s="86">
        <v>0.121</v>
      </c>
      <c r="D19" s="86">
        <v>0.16200000000000001</v>
      </c>
      <c r="E19" s="86">
        <v>0.185</v>
      </c>
      <c r="F19" s="86">
        <v>0.19700000000000001</v>
      </c>
    </row>
    <row r="20" spans="2:7" ht="18" customHeight="1" x14ac:dyDescent="0.2">
      <c r="B20" s="26" t="s">
        <v>411</v>
      </c>
      <c r="C20" s="86">
        <v>0.20200000000000001</v>
      </c>
      <c r="D20" s="86">
        <v>0.23100000000000001</v>
      </c>
      <c r="E20" s="86">
        <v>0.248</v>
      </c>
      <c r="F20" s="86">
        <v>0.25700000000000001</v>
      </c>
    </row>
    <row r="21" spans="2:7" ht="18" customHeight="1" x14ac:dyDescent="0.2">
      <c r="B21" s="26" t="s">
        <v>412</v>
      </c>
      <c r="C21" s="86">
        <v>9.8000000000000004E-2</v>
      </c>
      <c r="D21" s="86">
        <v>0.128</v>
      </c>
      <c r="E21" s="86">
        <v>0.14099999999999999</v>
      </c>
      <c r="F21" s="86">
        <v>0.155</v>
      </c>
    </row>
    <row r="23" spans="2:7" ht="19.5" customHeight="1" x14ac:dyDescent="0.2">
      <c r="B23" s="12" t="s">
        <v>414</v>
      </c>
      <c r="C23" s="12"/>
      <c r="D23" s="12"/>
      <c r="E23" s="12"/>
      <c r="F23" s="12"/>
      <c r="G23" s="12"/>
    </row>
    <row r="24" spans="2:7" ht="18" customHeight="1" x14ac:dyDescent="0.2">
      <c r="B24" s="83" t="s">
        <v>236</v>
      </c>
    </row>
    <row r="25" spans="2:7" ht="18" customHeight="1" x14ac:dyDescent="0.2">
      <c r="B25" s="84" t="s">
        <v>407</v>
      </c>
      <c r="C25" s="87">
        <v>98532</v>
      </c>
      <c r="D25" s="87">
        <v>144006</v>
      </c>
      <c r="E25" s="87">
        <v>185572</v>
      </c>
      <c r="F25" s="87">
        <v>225360</v>
      </c>
    </row>
    <row r="26" spans="2:7" ht="18" customHeight="1" x14ac:dyDescent="0.2">
      <c r="B26" s="26" t="s">
        <v>408</v>
      </c>
      <c r="C26" s="88">
        <v>40180</v>
      </c>
      <c r="D26" s="88">
        <v>55960</v>
      </c>
      <c r="E26" s="88">
        <v>70420</v>
      </c>
      <c r="F26" s="88">
        <v>83870</v>
      </c>
    </row>
    <row r="27" spans="2:7" ht="18" customHeight="1" x14ac:dyDescent="0.2">
      <c r="B27" s="26" t="s">
        <v>409</v>
      </c>
      <c r="C27" s="88">
        <v>37048</v>
      </c>
      <c r="D27" s="88">
        <v>45930</v>
      </c>
      <c r="E27" s="88">
        <v>52210</v>
      </c>
      <c r="F27" s="88">
        <v>58920</v>
      </c>
    </row>
    <row r="28" spans="2:7" ht="18" customHeight="1" x14ac:dyDescent="0.2">
      <c r="B28" s="26" t="s">
        <v>410</v>
      </c>
      <c r="C28" s="88">
        <v>52080</v>
      </c>
      <c r="D28" s="88">
        <v>63750</v>
      </c>
      <c r="E28" s="88">
        <v>72480</v>
      </c>
      <c r="F28" s="88">
        <v>81320</v>
      </c>
    </row>
    <row r="29" spans="2:7" ht="18" customHeight="1" x14ac:dyDescent="0.2">
      <c r="B29" s="26" t="s">
        <v>411</v>
      </c>
      <c r="C29" s="88">
        <v>8720</v>
      </c>
      <c r="D29" s="88">
        <v>10950</v>
      </c>
      <c r="E29" s="88">
        <v>14180</v>
      </c>
      <c r="F29" s="88">
        <v>16630</v>
      </c>
    </row>
    <row r="30" spans="2:7" ht="18" customHeight="1" x14ac:dyDescent="0.2">
      <c r="B30" s="26" t="s">
        <v>412</v>
      </c>
      <c r="C30" s="88">
        <v>39650</v>
      </c>
      <c r="D30" s="88">
        <v>44820</v>
      </c>
      <c r="E30" s="88">
        <v>49380</v>
      </c>
      <c r="F30" s="88">
        <v>54710</v>
      </c>
    </row>
    <row r="32" spans="2:7" ht="19.5" customHeight="1" x14ac:dyDescent="0.2">
      <c r="B32" s="12" t="s">
        <v>415</v>
      </c>
      <c r="C32" s="12"/>
      <c r="D32" s="12"/>
      <c r="E32" s="12"/>
      <c r="F32" s="12"/>
      <c r="G32" s="12"/>
    </row>
    <row r="33" spans="2:7" ht="18" customHeight="1" x14ac:dyDescent="0.2">
      <c r="B33" s="83" t="s">
        <v>236</v>
      </c>
    </row>
    <row r="34" spans="2:7" ht="18" customHeight="1" x14ac:dyDescent="0.2">
      <c r="B34" s="84" t="s">
        <v>407</v>
      </c>
      <c r="C34" s="85">
        <v>0.108</v>
      </c>
      <c r="D34" s="85">
        <v>6.2E-2</v>
      </c>
      <c r="E34" s="85">
        <v>6.8000000000000005E-2</v>
      </c>
      <c r="F34" s="85">
        <v>7.1999999999999995E-2</v>
      </c>
    </row>
    <row r="35" spans="2:7" ht="18" customHeight="1" x14ac:dyDescent="0.2">
      <c r="B35" s="26" t="s">
        <v>408</v>
      </c>
      <c r="C35" s="86">
        <v>5.1999999999999998E-2</v>
      </c>
      <c r="D35" s="86">
        <v>7.0999999999999994E-2</v>
      </c>
      <c r="E35" s="86">
        <v>8.8999999999999996E-2</v>
      </c>
      <c r="F35" s="86">
        <v>9.5000000000000001E-2</v>
      </c>
    </row>
    <row r="36" spans="2:7" ht="18" customHeight="1" x14ac:dyDescent="0.2">
      <c r="B36" s="26" t="s">
        <v>409</v>
      </c>
      <c r="C36" s="86">
        <v>0.04</v>
      </c>
      <c r="D36" s="86">
        <v>5.8000000000000003E-2</v>
      </c>
      <c r="E36" s="86">
        <v>6.2E-2</v>
      </c>
      <c r="F36" s="86">
        <v>6.5000000000000002E-2</v>
      </c>
    </row>
    <row r="37" spans="2:7" ht="18" customHeight="1" x14ac:dyDescent="0.2">
      <c r="B37" s="26" t="s">
        <v>410</v>
      </c>
      <c r="C37" s="86">
        <v>7.8E-2</v>
      </c>
      <c r="D37" s="86">
        <v>7.1999999999999995E-2</v>
      </c>
      <c r="E37" s="86">
        <v>7.6999999999999999E-2</v>
      </c>
      <c r="F37" s="86">
        <v>8.2000000000000003E-2</v>
      </c>
    </row>
    <row r="38" spans="2:7" ht="18" customHeight="1" x14ac:dyDescent="0.2">
      <c r="B38" s="26" t="s">
        <v>411</v>
      </c>
      <c r="C38" s="86">
        <v>6.0999999999999999E-2</v>
      </c>
      <c r="D38" s="86">
        <v>8.5000000000000006E-2</v>
      </c>
      <c r="E38" s="86">
        <v>9.4E-2</v>
      </c>
      <c r="F38" s="86">
        <v>9.8000000000000004E-2</v>
      </c>
    </row>
    <row r="39" spans="2:7" ht="18" customHeight="1" x14ac:dyDescent="0.2">
      <c r="B39" s="26" t="s">
        <v>412</v>
      </c>
      <c r="C39" s="86">
        <v>7.1999999999999995E-2</v>
      </c>
      <c r="D39" s="86">
        <v>6.8000000000000005E-2</v>
      </c>
      <c r="E39" s="86">
        <v>6.5000000000000002E-2</v>
      </c>
      <c r="F39" s="86">
        <v>6.0999999999999999E-2</v>
      </c>
    </row>
    <row r="41" spans="2:7" ht="48" customHeight="1" x14ac:dyDescent="0.2">
      <c r="B41" s="5" t="s">
        <v>416</v>
      </c>
      <c r="C41" s="5"/>
      <c r="D41" s="5"/>
      <c r="E41" s="5"/>
      <c r="F41" s="5"/>
      <c r="G41" s="5"/>
    </row>
  </sheetData>
  <mergeCells count="7">
    <mergeCell ref="B32:G32"/>
    <mergeCell ref="B41:G41"/>
    <mergeCell ref="B1:G1"/>
    <mergeCell ref="B2:G2"/>
    <mergeCell ref="B5:G5"/>
    <mergeCell ref="B14:G14"/>
    <mergeCell ref="B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Hosp_Revenue</vt:lpstr>
      <vt:lpstr>Hosp_Cost</vt:lpstr>
      <vt:lpstr>Inc_Statement</vt:lpstr>
      <vt:lpstr>Bal_Sheet</vt:lpstr>
      <vt:lpstr>Cash_Flow</vt:lpstr>
      <vt:lpstr>Hosp_Val</vt:lpstr>
      <vt:lpstr>Pharmacy_Hlth</vt:lpstr>
      <vt:lpstr>Diag_AHLL</vt:lpstr>
      <vt:lpstr>SOTP</vt:lpstr>
      <vt:lpstr>Return_Ratios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SALONI BAWEJA</cp:lastModifiedBy>
  <cp:revision>0</cp:revision>
  <dcterms:created xsi:type="dcterms:W3CDTF">2026-05-26T15:31:57Z</dcterms:created>
  <dcterms:modified xsi:type="dcterms:W3CDTF">2026-05-27T07:22:06Z</dcterms:modified>
  <dc:language>en-US</dc:language>
</cp:coreProperties>
</file>