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istoricals" sheetId="2" state="visible" r:id="rId4"/>
    <sheet name="Projections" sheetId="3" state="visible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<sst xmlns="http://schemas.openxmlformats.org/spreadsheetml/2006/main" count="679" uniqueCount="570">
  <si>
    <t xml:space="preserve">AFCONS INFRASTRUCTURE LIMITED</t>
  </si>
  <si>
    <t xml:space="preserve">Equity Research — Investment Summary</t>
  </si>
  <si>
    <t xml:space="preserve">INVESTMENT RECOMMENDATION</t>
  </si>
  <si>
    <t xml:space="preserve">Recommendation:</t>
  </si>
  <si>
    <t xml:space="preserve">Target Price (Blended):</t>
  </si>
  <si>
    <t xml:space="preserve">Current Market Price:</t>
  </si>
  <si>
    <t xml:space="preserve">Upside / (Downside):</t>
  </si>
  <si>
    <t xml:space="preserve">MARKET DATA</t>
  </si>
  <si>
    <t xml:space="preserve">Shares Outstanding (Cr):</t>
  </si>
  <si>
    <t xml:space="preserve">Market Cap (₹ Cr):</t>
  </si>
  <si>
    <t xml:space="preserve">Net Debt FY26 (₹ Cr):</t>
  </si>
  <si>
    <t xml:space="preserve">Enterprise Value (₹ Cr):</t>
  </si>
  <si>
    <t xml:space="preserve">FINANCIAL SUMMARY (₹ Cr)</t>
  </si>
  <si>
    <t xml:space="preserve">FY23A</t>
  </si>
  <si>
    <t xml:space="preserve">FY24A</t>
  </si>
  <si>
    <t xml:space="preserve">FY25A</t>
  </si>
  <si>
    <t xml:space="preserve">FY26A</t>
  </si>
  <si>
    <t xml:space="preserve">FY27E</t>
  </si>
  <si>
    <t xml:space="preserve">FY28E</t>
  </si>
  <si>
    <t xml:space="preserve">FY29E</t>
  </si>
  <si>
    <t xml:space="preserve">Revenue from Operations</t>
  </si>
  <si>
    <t xml:space="preserve">  YoY Growth %</t>
  </si>
  <si>
    <t xml:space="preserve">EBITDA (excl Other Income)</t>
  </si>
  <si>
    <t xml:space="preserve">  EBITDA Margin %</t>
  </si>
  <si>
    <t xml:space="preserve">PAT</t>
  </si>
  <si>
    <t xml:space="preserve">EPS (₹)</t>
  </si>
  <si>
    <t xml:space="preserve">Closing Order Book</t>
  </si>
  <si>
    <t xml:space="preserve">  Book-to-Bill (x)</t>
  </si>
  <si>
    <t xml:space="preserve">VALUATION SNAPSHOT</t>
  </si>
  <si>
    <t xml:space="preserve">Method</t>
  </si>
  <si>
    <t xml:space="preserve">Implied Price (₹)</t>
  </si>
  <si>
    <t xml:space="preserve">Weight</t>
  </si>
  <si>
    <t xml:space="preserve">Contribution (₹)</t>
  </si>
  <si>
    <t xml:space="preserve">DCF</t>
  </si>
  <si>
    <t xml:space="preserve">EV/EBITDA (FY28E)</t>
  </si>
  <si>
    <t xml:space="preserve">P/E (FY28E)</t>
  </si>
  <si>
    <t xml:space="preserve">P/B (FY26)</t>
  </si>
  <si>
    <t xml:space="preserve">BLENDED TARGET</t>
  </si>
  <si>
    <t xml:space="preserve">INVESTMENT THESIS</t>
  </si>
  <si>
    <t xml:space="preserve">Positives</t>
  </si>
  <si>
    <t xml:space="preserve">• Mgmt guidance ₹30,000 Cr inflow FY27 (vs FY26 ₹4,125 Cr) — recovery trajectory</t>
  </si>
  <si>
    <t xml:space="preserve">• Specialty EPC moat: Marine, Underground Metro, Hydro (peer-leading margins ~12% vs sector 8.5%)</t>
  </si>
  <si>
    <t xml:space="preserve">• Diversified OB ₹32,500 Cr — 2.7x book-to-bill provides multi-year visibility</t>
  </si>
  <si>
    <t xml:space="preserve">• Post-IPO balance sheet flexibility — improving credit profile, supplier negotiation leverage</t>
  </si>
  <si>
    <t xml:space="preserve">• Underpenetrated overseas opportunity (Africa, Middle East marine pipeline in L1)</t>
  </si>
  <si>
    <t xml:space="preserve">Risks</t>
  </si>
  <si>
    <t xml:space="preserve">• Geopolitical risk on overseas execution (FY26 Africa disruptions affected calibration)</t>
  </si>
  <si>
    <t xml:space="preserve">• Working capital intensive: ~118 days NWC FY26, contract assets ₹7,731 Cr (largest item)</t>
  </si>
  <si>
    <t xml:space="preserve">• Government client payment cycles — receivables stretched to 123 days FY26</t>
  </si>
  <si>
    <t xml:space="preserve">• Sub-contract intensity 42% of revenue limits operating leverage on cost base</t>
  </si>
  <si>
    <t xml:space="preserve">• Order inflow lumpy: FY26 ₹4,125 Cr was 4-year low; FY27 guidance is critical to meet</t>
  </si>
  <si>
    <t xml:space="preserve">KEY MODEL ASSUMPTIONS</t>
  </si>
  <si>
    <t xml:space="preserve">Total OB Growth FY27/28/29</t>
  </si>
  <si>
    <t xml:space="preserve">12% / 18% / 15%</t>
  </si>
  <si>
    <t xml:space="preserve">FY26 Baseline Execution Rate</t>
  </si>
  <si>
    <t xml:space="preserve">32.4% (FY26 Rev ÷ Mar'25 OB)</t>
  </si>
  <si>
    <t xml:space="preserve">Cost of Debt</t>
  </si>
  <si>
    <t xml:space="preserve">10.5% (constant per user)</t>
  </si>
  <si>
    <t xml:space="preserve">Tax Rate</t>
  </si>
  <si>
    <t xml:space="preserve">25.5% (concessional regime)</t>
  </si>
  <si>
    <t xml:space="preserve">WACC / Terminal Growth</t>
  </si>
  <si>
    <t xml:space="preserve">12.3% / 4.0%</t>
  </si>
  <si>
    <t xml:space="preserve">Working Capital approach</t>
  </si>
  <si>
    <t xml:space="preserve">Days × Revenue ÷ 365 per line item, mgmt commentary</t>
  </si>
  <si>
    <t xml:space="preserve">EBITDA definition</t>
  </si>
  <si>
    <t xml:space="preserve">Bottom-up from cost lines, excludes Other Income</t>
  </si>
  <si>
    <t xml:space="preserve">Finance cost basis</t>
  </si>
  <si>
    <t xml:space="preserve">Total Debt incl WC loans × constant CoD × Avg balance</t>
  </si>
  <si>
    <t xml:space="preserve">SOURCES</t>
  </si>
  <si>
    <t xml:space="preserve">• Afcons Q4 FY26 Investor Presentation &amp; Earnings Call (May 2026)</t>
  </si>
  <si>
    <t xml:space="preserve">• Afcons Q4 FY25 Investor Presentation &amp; Earnings Call (May 2025)</t>
  </si>
  <si>
    <t xml:space="preserve">• Afcons RHP (October 2024)</t>
  </si>
  <si>
    <t xml:space="preserve">• BSE/NSE filings for peer multiples (May 2026)</t>
  </si>
  <si>
    <t xml:space="preserve">• Damodaran India ERP 2026 dataset</t>
  </si>
  <si>
    <t xml:space="preserve">AFCONS INFRASTRUCTURE — CONSOLIDATED HISTORICALS</t>
  </si>
  <si>
    <t xml:space="preserve">Every line item as reported. FY23 from AR 2022-23. FY24-26 from quarterly outcomes/Q4 IPs. ₹ Cr.</t>
  </si>
  <si>
    <t xml:space="preserve">Source</t>
  </si>
  <si>
    <t xml:space="preserve">CONSOLIDATED STATEMENT OF PROFIT AND LOSS (₹ Cr)</t>
  </si>
  <si>
    <t xml:space="preserve">Income</t>
  </si>
  <si>
    <t xml:space="preserve">FY23 AR; FY24-26 outcomes</t>
  </si>
  <si>
    <t xml:space="preserve">Other income (net)</t>
  </si>
  <si>
    <t xml:space="preserve">As reported</t>
  </si>
  <si>
    <t xml:space="preserve">Total Income</t>
  </si>
  <si>
    <t xml:space="preserve">Sum</t>
  </si>
  <si>
    <t xml:space="preserve">Expenses</t>
  </si>
  <si>
    <t xml:space="preserve">Cost of material consumed</t>
  </si>
  <si>
    <t xml:space="preserve">Cost of Construction</t>
  </si>
  <si>
    <t xml:space="preserve">Employee benefit expenses</t>
  </si>
  <si>
    <t xml:space="preserve">Finance costs</t>
  </si>
  <si>
    <t xml:space="preserve">Depreciation and amortisation expense</t>
  </si>
  <si>
    <t xml:space="preserve">Other expenses</t>
  </si>
  <si>
    <t xml:space="preserve">Total Expenses</t>
  </si>
  <si>
    <t xml:space="preserve">Profit before exceptional items &amp; tax</t>
  </si>
  <si>
    <t xml:space="preserve">Total Income − Total Expenses</t>
  </si>
  <si>
    <t xml:space="preserve">Exceptional Items</t>
  </si>
  <si>
    <t xml:space="preserve">FY26: ₹76.51 Cr Labour Code</t>
  </si>
  <si>
    <t xml:space="preserve">Profit before tax</t>
  </si>
  <si>
    <t xml:space="preserve">PBEI − Exceptional</t>
  </si>
  <si>
    <t xml:space="preserve">Tax expense:</t>
  </si>
  <si>
    <t xml:space="preserve">(i) Current tax</t>
  </si>
  <si>
    <t xml:space="preserve">(ii) Deferred tax − (credit) / charge</t>
  </si>
  <si>
    <t xml:space="preserve">As reported (negative = credit)</t>
  </si>
  <si>
    <t xml:space="preserve">(iii) Tax expense relating to earlier years (net)</t>
  </si>
  <si>
    <t xml:space="preserve">Total tax expense</t>
  </si>
  <si>
    <t xml:space="preserve">Sum of (i)+(ii)+(iii)</t>
  </si>
  <si>
    <t xml:space="preserve">Profit after tax and exceptional items</t>
  </si>
  <si>
    <t xml:space="preserve">PBT − Tax</t>
  </si>
  <si>
    <t xml:space="preserve">Other Comprehensive Income (OCI)</t>
  </si>
  <si>
    <t xml:space="preserve">A) Items that will not be reclassified to P&amp;L</t>
  </si>
  <si>
    <t xml:space="preserve">(a) Changes in fair value of equity investments (FVOCI), net of tax</t>
  </si>
  <si>
    <t xml:space="preserve">(b) Remeasurements of defined benefit plans, net of tax</t>
  </si>
  <si>
    <t xml:space="preserve">B) Items that will be reclassified to P&amp;L</t>
  </si>
  <si>
    <t xml:space="preserve">(a) Exchange differences on translation of foreign operations</t>
  </si>
  <si>
    <t xml:space="preserve">Other Comprehensive Income / (Loss)</t>
  </si>
  <si>
    <t xml:space="preserve">Total Comprehensive Income for the year</t>
  </si>
  <si>
    <t xml:space="preserve">PAT + OCI</t>
  </si>
  <si>
    <t xml:space="preserve">Profit attributable to:</t>
  </si>
  <si>
    <t xml:space="preserve">− Owners of the Company</t>
  </si>
  <si>
    <t xml:space="preserve">− Non-controlling interest</t>
  </si>
  <si>
    <t xml:space="preserve">Paid-up equity share capital</t>
  </si>
  <si>
    <t xml:space="preserve">As reported (FV ₹10 each)</t>
  </si>
  <si>
    <t xml:space="preserve">Other equity (reserves)</t>
  </si>
  <si>
    <t xml:space="preserve">Earnings per share (₹):</t>
  </si>
  <si>
    <t xml:space="preserve">Basic EPS</t>
  </si>
  <si>
    <t xml:space="preserve">Diluted EPS</t>
  </si>
  <si>
    <t xml:space="preserve">P&amp;L HYGIENE — Reported vs Model</t>
  </si>
  <si>
    <t xml:space="preserve">Reported PAT (Owners + NCI from filings)</t>
  </si>
  <si>
    <t xml:space="preserve">Model PAT (row 31)</t>
  </si>
  <si>
    <t xml:space="preserve">Variance (Model − Reported)</t>
  </si>
  <si>
    <t xml:space="preserve">Should be ≤ ₹0.05 Cr (rounding)</t>
  </si>
  <si>
    <t xml:space="preserve">CONSOLIDATED BALANCE SHEET (₹ Cr)</t>
  </si>
  <si>
    <t xml:space="preserve">Note</t>
  </si>
  <si>
    <t xml:space="preserve">A. ASSETS</t>
  </si>
  <si>
    <t xml:space="preserve">1. Non-current assets</t>
  </si>
  <si>
    <t xml:space="preserve">(a) Property, plant and equipment</t>
  </si>
  <si>
    <t xml:space="preserve">(b) Capital work-in-progress</t>
  </si>
  <si>
    <t xml:space="preserve">FY26 spike: TBM addition</t>
  </si>
  <si>
    <t xml:space="preserve">(c) Right-of-use assets</t>
  </si>
  <si>
    <t xml:space="preserve">(d) Goodwill</t>
  </si>
  <si>
    <t xml:space="preserve">(e) Intangible assets</t>
  </si>
  <si>
    <t xml:space="preserve">(f) Financial assets:</t>
  </si>
  <si>
    <t xml:space="preserve">(i) Investments</t>
  </si>
  <si>
    <t xml:space="preserve">(ii) Trade receivables</t>
  </si>
  <si>
    <t xml:space="preserve">(iii) Other financial assets</t>
  </si>
  <si>
    <t xml:space="preserve">(g) Contract assets (Non-current)</t>
  </si>
  <si>
    <t xml:space="preserve">(h) Non-current tax assets (net)</t>
  </si>
  <si>
    <t xml:space="preserve">(i) Other non-current assets</t>
  </si>
  <si>
    <t xml:space="preserve">Total non-current assets</t>
  </si>
  <si>
    <t xml:space="preserve">2. Current assets</t>
  </si>
  <si>
    <t xml:space="preserve">(a) Inventories</t>
  </si>
  <si>
    <t xml:space="preserve">(b) Financial assets:</t>
  </si>
  <si>
    <t xml:space="preserve">(i) Trade receivables</t>
  </si>
  <si>
    <t xml:space="preserve">(ii) Cash and cash equivalents</t>
  </si>
  <si>
    <t xml:space="preserve">(iii) Bank balances other than (ii) above</t>
  </si>
  <si>
    <t xml:space="preserve">(iv) Loans</t>
  </si>
  <si>
    <t xml:space="preserve">(v) Other financial assets</t>
  </si>
  <si>
    <t xml:space="preserve">(c) Contract assets (Current)</t>
  </si>
  <si>
    <t xml:space="preserve">(d) Other current assets</t>
  </si>
  <si>
    <t xml:space="preserve">Total current assets</t>
  </si>
  <si>
    <t xml:space="preserve">TOTAL ASSETS (1+2)</t>
  </si>
  <si>
    <t xml:space="preserve">Non-current + Current</t>
  </si>
  <si>
    <t xml:space="preserve">B. EQUITY AND LIABILITIES</t>
  </si>
  <si>
    <t xml:space="preserve">1. Equity</t>
  </si>
  <si>
    <t xml:space="preserve">(a) Equity share capital</t>
  </si>
  <si>
    <t xml:space="preserve">(b) Instruments entirely equity in nature (Pref shares)</t>
  </si>
  <si>
    <t xml:space="preserve">Pref shares converted/cancelled pre-IPO</t>
  </si>
  <si>
    <t xml:space="preserve">(c) Other equity</t>
  </si>
  <si>
    <t xml:space="preserve">Equity attributable to shareholders</t>
  </si>
  <si>
    <t xml:space="preserve">Non-controlling interest</t>
  </si>
  <si>
    <t xml:space="preserve">Total Equity</t>
  </si>
  <si>
    <t xml:space="preserve">Equity attributable + NCI</t>
  </si>
  <si>
    <t xml:space="preserve">2. Liabilities</t>
  </si>
  <si>
    <t xml:space="preserve">(A) Non-current liabilities</t>
  </si>
  <si>
    <t xml:space="preserve">(a) Financial liabilities:</t>
  </si>
  <si>
    <t xml:space="preserve">(i) Borrowings (NC)</t>
  </si>
  <si>
    <t xml:space="preserve">(ii) Lease Liabilities (NC)</t>
  </si>
  <si>
    <t xml:space="preserve">(iii) Trade payables (NC):</t>
  </si>
  <si>
    <t xml:space="preserve">    (a) Due to micro and small enterprises (NC)</t>
  </si>
  <si>
    <t xml:space="preserve">    (b) Due to other creditors (NC)</t>
  </si>
  <si>
    <t xml:space="preserve">(iv) Other financial liabilities (NC)</t>
  </si>
  <si>
    <t xml:space="preserve">(b) Contract liabilities (NC)</t>
  </si>
  <si>
    <t xml:space="preserve">(c) Provisions (NC)</t>
  </si>
  <si>
    <t xml:space="preserve">(d) Deferred tax liabilities (net)</t>
  </si>
  <si>
    <t xml:space="preserve">Total non-current liabilities</t>
  </si>
  <si>
    <t xml:space="preserve">(B) Current liabilities</t>
  </si>
  <si>
    <t xml:space="preserve">(i) Borrowings (C)</t>
  </si>
  <si>
    <t xml:space="preserve">(ii) Lease Liabilities (C)</t>
  </si>
  <si>
    <t xml:space="preserve">(iii) Trade payables (C):</t>
  </si>
  <si>
    <t xml:space="preserve">    (a) Due to micro and small enterprises (C)</t>
  </si>
  <si>
    <t xml:space="preserve">    (b) Due to other creditors (C)</t>
  </si>
  <si>
    <t xml:space="preserve">(iv) Other financial liabilities (C)</t>
  </si>
  <si>
    <t xml:space="preserve">(b) Contract liabilities (C)</t>
  </si>
  <si>
    <t xml:space="preserve">(c) Provisions (C)</t>
  </si>
  <si>
    <t xml:space="preserve">(d) Current tax liabilities (net)</t>
  </si>
  <si>
    <t xml:space="preserve">(e) Other current liabilities</t>
  </si>
  <si>
    <t xml:space="preserve">Total current liabilities</t>
  </si>
  <si>
    <t xml:space="preserve">Total Liabilities (A+B)</t>
  </si>
  <si>
    <t xml:space="preserve">NC + C Liab</t>
  </si>
  <si>
    <t xml:space="preserve">TOTAL EQUITY AND LIABILITIES (1+2)</t>
  </si>
  <si>
    <t xml:space="preserve">Equity + Total Liab</t>
  </si>
  <si>
    <t xml:space="preserve">BS HYGIENE — Reported vs Model</t>
  </si>
  <si>
    <t xml:space="preserve">Reported Total Assets (per filings)</t>
  </si>
  <si>
    <t xml:space="preserve">Model Total Assets (row 90)</t>
  </si>
  <si>
    <t xml:space="preserve">Should be ≤ ₹0.05 Cr</t>
  </si>
  <si>
    <t xml:space="preserve">BS Tie: Total Assets − Total Equity &amp; Liab</t>
  </si>
  <si>
    <t xml:space="preserve">Should be 0</t>
  </si>
  <si>
    <t xml:space="preserve">CONSOLIDATED CASH FLOW STATEMENT (₹ Cr)</t>
  </si>
  <si>
    <t xml:space="preserve">A. Cash flow from operating activities</t>
  </si>
  <si>
    <t xml:space="preserve">Adjustments for:</t>
  </si>
  <si>
    <t xml:space="preserve">Loss on PPE sold/scrapped (net)</t>
  </si>
  <si>
    <t xml:space="preserve">Interest income recognised in P&amp;L</t>
  </si>
  <si>
    <t xml:space="preserve">Negative (deduction)</t>
  </si>
  <si>
    <t xml:space="preserve">Insurance claim received</t>
  </si>
  <si>
    <t xml:space="preserve">Bad debts/unbilled written off (net)</t>
  </si>
  <si>
    <t xml:space="preserve">FY23 incl advances written off ₹0</t>
  </si>
  <si>
    <t xml:space="preserve">Provision for doubtful debtors/advances written back</t>
  </si>
  <si>
    <t xml:space="preserve">Provision for expected credit loss</t>
  </si>
  <si>
    <t xml:space="preserve">Creditors/excess provision written back</t>
  </si>
  <si>
    <t xml:space="preserve">Provision for Doubtful Debtors/Advances (addition)</t>
  </si>
  <si>
    <t xml:space="preserve">FY22 only</t>
  </si>
  <si>
    <t xml:space="preserve">Provision for projected losses on contract (net)</t>
  </si>
  <si>
    <t xml:space="preserve">Net foreign exchange difference</t>
  </si>
  <si>
    <t xml:space="preserve">Operating profit before working capital changes</t>
  </si>
  <si>
    <t xml:space="preserve">Working capital changes:</t>
  </si>
  <si>
    <t xml:space="preserve">Decrease / (Increase) in trade receivables</t>
  </si>
  <si>
    <t xml:space="preserve">Decrease / (Increase) in inventories</t>
  </si>
  <si>
    <t xml:space="preserve">(Increase) in contract assets</t>
  </si>
  <si>
    <t xml:space="preserve">Decrease / (Increase) in financial assets</t>
  </si>
  <si>
    <t xml:space="preserve">(Increase) in non-financial / other assets</t>
  </si>
  <si>
    <t xml:space="preserve">Increase / (Decrease) in trade payable</t>
  </si>
  <si>
    <t xml:space="preserve">Increase / (Decrease) in contract liabilities</t>
  </si>
  <si>
    <t xml:space="preserve">(Decrease) / Increase in financial liabilities</t>
  </si>
  <si>
    <t xml:space="preserve">Increase / (Decrease) in other liabilities</t>
  </si>
  <si>
    <t xml:space="preserve">(Decrease) / Increase in provisions</t>
  </si>
  <si>
    <t xml:space="preserve">Cash generated from operations</t>
  </si>
  <si>
    <t xml:space="preserve">OP + WC changes</t>
  </si>
  <si>
    <t xml:space="preserve">(Payment) of Income Tax (net of refunds)</t>
  </si>
  <si>
    <t xml:space="preserve">Net Cash flow from / (used in) operating activities</t>
  </si>
  <si>
    <t xml:space="preserve">CFO</t>
  </si>
  <si>
    <t xml:space="preserve">B. Cash flow from investing activities</t>
  </si>
  <si>
    <t xml:space="preserve">Payments for property, plant and equipment</t>
  </si>
  <si>
    <t xml:space="preserve">Proceeds from sale of PPE</t>
  </si>
  <si>
    <t xml:space="preserve">Investment in other bank balance redeemed</t>
  </si>
  <si>
    <t xml:space="preserve">Investment in other bank balance (made)</t>
  </si>
  <si>
    <t xml:space="preserve">Interest received</t>
  </si>
  <si>
    <t xml:space="preserve">Net Cash flow (used in) investing activities</t>
  </si>
  <si>
    <t xml:space="preserve">C. Cash flow from financing activities</t>
  </si>
  <si>
    <t xml:space="preserve">Proceeds from long-term borrowings</t>
  </si>
  <si>
    <t xml:space="preserve">Repayment of long-term borrowings</t>
  </si>
  <si>
    <t xml:space="preserve">Proceeds from Initial Public Offer</t>
  </si>
  <si>
    <t xml:space="preserve">FY25 only — IPO Nov'24</t>
  </si>
  <si>
    <t xml:space="preserve">IPO Expenses</t>
  </si>
  <si>
    <t xml:space="preserve">(Repayment) / Proceeds from short-term borrowings (net)</t>
  </si>
  <si>
    <t xml:space="preserve">Finance costs paid</t>
  </si>
  <si>
    <t xml:space="preserve">Principal element of lease payments (net)</t>
  </si>
  <si>
    <t xml:space="preserve">Dividend paid on equity shares</t>
  </si>
  <si>
    <t xml:space="preserve">Dividend paid on preference shares</t>
  </si>
  <si>
    <t xml:space="preserve">Net Cash flow from / (used in) financing activities</t>
  </si>
  <si>
    <t xml:space="preserve">Net (Decrease) / Increase in cash and cash equivalents</t>
  </si>
  <si>
    <t xml:space="preserve">CFO+CFI+CFF</t>
  </si>
  <si>
    <t xml:space="preserve">Cash and cash equivalents at beginning of year</t>
  </si>
  <si>
    <t xml:space="preserve">Per CF statement</t>
  </si>
  <si>
    <t xml:space="preserve">Effects of exchange rate changes on cash</t>
  </si>
  <si>
    <t xml:space="preserve">Cash and cash equivalents at end of year</t>
  </si>
  <si>
    <t xml:space="preserve">Should tie to BS</t>
  </si>
  <si>
    <t xml:space="preserve">CF HYGIENE — Reported vs Model</t>
  </si>
  <si>
    <t xml:space="preserve">Reported Closing Cash (per filings)</t>
  </si>
  <si>
    <t xml:space="preserve">Model Closing Cash (row 198)</t>
  </si>
  <si>
    <t xml:space="preserve">Variance vs Reported</t>
  </si>
  <si>
    <t xml:space="preserve">Should be ≤ ₹0.5 Cr (rounding)</t>
  </si>
  <si>
    <t xml:space="preserve">Tie: Closing Cash (CF) vs Cash on BS (row 82)</t>
  </si>
  <si>
    <t xml:space="preserve">MEMO — AGGREGATED METRICS (used by Projections / Summary / Valuation)</t>
  </si>
  <si>
    <t xml:space="preserve">Build</t>
  </si>
  <si>
    <t xml:space="preserve">P&amp;L Aggregates</t>
  </si>
  <si>
    <t xml:space="preserve">Rev − Mat − Constr − Emp − Other Exp</t>
  </si>
  <si>
    <t xml:space="preserve">EBITDA Margin (% Rev from Ops)</t>
  </si>
  <si>
    <t xml:space="preserve">Output</t>
  </si>
  <si>
    <t xml:space="preserve">Reported EBITDA (per IPs)</t>
  </si>
  <si>
    <t xml:space="preserve">Per IPs - includes Other Income</t>
  </si>
  <si>
    <t xml:space="preserve">Variance Model+OthInc vs Reported</t>
  </si>
  <si>
    <t xml:space="preserve">Should tie ≤ ₹0.5 Cr</t>
  </si>
  <si>
    <t xml:space="preserve">Balance Sheet Aggregates</t>
  </si>
  <si>
    <t xml:space="preserve">Total Borrowings (LT + ST)</t>
  </si>
  <si>
    <t xml:space="preserve">NC + Current Borrowings</t>
  </si>
  <si>
    <t xml:space="preserve">Total Lease Liabilities (NC + C)</t>
  </si>
  <si>
    <t xml:space="preserve">NC + C Lease</t>
  </si>
  <si>
    <t xml:space="preserve">Total Trade Payables (all)</t>
  </si>
  <si>
    <t xml:space="preserve">Sum of all TP lines</t>
  </si>
  <si>
    <t xml:space="preserve">Total Contract Liabilities (NC + C)</t>
  </si>
  <si>
    <t xml:space="preserve">NC + C Contract Liab</t>
  </si>
  <si>
    <t xml:space="preserve">Total Other Financial Liab (NC + C)</t>
  </si>
  <si>
    <t xml:space="preserve">NC + C Other Fin Liab</t>
  </si>
  <si>
    <t xml:space="preserve">Total Provisions (NC + C)</t>
  </si>
  <si>
    <t xml:space="preserve">NC + C Provisions</t>
  </si>
  <si>
    <t xml:space="preserve">Total Tangible Assets (PPE + CWIP + ROU)</t>
  </si>
  <si>
    <t xml:space="preserve">PPE + CWIP + ROU</t>
  </si>
  <si>
    <t xml:space="preserve">Total Trade Receivables (NC + C)</t>
  </si>
  <si>
    <t xml:space="preserve">NC + C TR</t>
  </si>
  <si>
    <t xml:space="preserve">Total Contract Assets (NC + C)</t>
  </si>
  <si>
    <t xml:space="preserve">NC + C CA</t>
  </si>
  <si>
    <t xml:space="preserve">Total Cash &amp; Bank Balances</t>
  </si>
  <si>
    <t xml:space="preserve">Cash + Other Bank Bal</t>
  </si>
  <si>
    <t xml:space="preserve">Total Other Financial Assets (NC + C)</t>
  </si>
  <si>
    <t xml:space="preserve">NC + C Other Fin Assets</t>
  </si>
  <si>
    <t xml:space="preserve">Total Other Assets (NC + C)</t>
  </si>
  <si>
    <t xml:space="preserve">NC + C Other Assets</t>
  </si>
  <si>
    <t xml:space="preserve">Net Debt (Total Debt − Cash &amp; Bank)</t>
  </si>
  <si>
    <t xml:space="preserve">Total Borrowings − Cash &amp; Bank</t>
  </si>
  <si>
    <t xml:space="preserve">Equity attributable to owners</t>
  </si>
  <si>
    <t xml:space="preserve">Equity excluding NCI</t>
  </si>
  <si>
    <t xml:space="preserve">Net Working Capital</t>
  </si>
  <si>
    <t xml:space="preserve">Current TR + Current CA + Inv − Current TP − Current CL − Other CL</t>
  </si>
  <si>
    <t xml:space="preserve">NWC Days (× Revenue / 365)</t>
  </si>
  <si>
    <t xml:space="preserve">Days</t>
  </si>
  <si>
    <t xml:space="preserve">Cash Flow Aggregates</t>
  </si>
  <si>
    <t xml:space="preserve">Net CFO</t>
  </si>
  <si>
    <t xml:space="preserve">Link to row 172</t>
  </si>
  <si>
    <t xml:space="preserve">Net CFI</t>
  </si>
  <si>
    <t xml:space="preserve">Link to row 181</t>
  </si>
  <si>
    <t xml:space="preserve">Net CFF</t>
  </si>
  <si>
    <t xml:space="preserve">Link to row 193</t>
  </si>
  <si>
    <t xml:space="preserve">Change in WC (CF)</t>
  </si>
  <si>
    <t xml:space="preserve">Sum of WC change lines</t>
  </si>
  <si>
    <t xml:space="preserve">Capex (PPE payments)</t>
  </si>
  <si>
    <t xml:space="preserve">Row 175</t>
  </si>
  <si>
    <t xml:space="preserve">ORDER BOOK &amp; RELATED METRICS (₹ Cr) — From Q4 IPs</t>
  </si>
  <si>
    <t xml:space="preserve">Closing Order Book (Total)</t>
  </si>
  <si>
    <t xml:space="preserve">FY23: RHP. FY24-26: Q4 IPs KPI</t>
  </si>
  <si>
    <t xml:space="preserve">Domestic Order Book</t>
  </si>
  <si>
    <t xml:space="preserve">Q4 IP KPI</t>
  </si>
  <si>
    <t xml:space="preserve">Overseas Order Book</t>
  </si>
  <si>
    <t xml:space="preserve">Domestic OB %</t>
  </si>
  <si>
    <t xml:space="preserve">Calc</t>
  </si>
  <si>
    <t xml:space="preserve">Overseas OB %</t>
  </si>
  <si>
    <t xml:space="preserve">Order Inflow during year</t>
  </si>
  <si>
    <t xml:space="preserve">RHP / IPs</t>
  </si>
  <si>
    <t xml:space="preserve">Book-to-Bill Ratio</t>
  </si>
  <si>
    <t xml:space="preserve">OB / Revenue</t>
  </si>
  <si>
    <t xml:space="preserve">Revenue from overseas projects (%)</t>
  </si>
  <si>
    <t xml:space="preserve">Q4 IPs</t>
  </si>
  <si>
    <t xml:space="preserve">Order Book Composition by Segment (%)</t>
  </si>
  <si>
    <t xml:space="preserve">Marine &amp; Industrial</t>
  </si>
  <si>
    <t xml:space="preserve">FY23-24: RHP. FY25-26: Q4 IPs.</t>
  </si>
  <si>
    <t xml:space="preserve">Surface Transport</t>
  </si>
  <si>
    <t xml:space="preserve">Urban Infra (Metro)</t>
  </si>
  <si>
    <t xml:space="preserve">Urban Infra (Bridges)</t>
  </si>
  <si>
    <t xml:space="preserve">Hydro &amp; Underground</t>
  </si>
  <si>
    <t xml:space="preserve">Oil &amp; Gas</t>
  </si>
  <si>
    <t xml:space="preserve">Sum (=100%)</t>
  </si>
  <si>
    <t xml:space="preserve">AFCONS INFRASTRUCTURE — PROJECTIONS</t>
  </si>
  <si>
    <t xml:space="preserve">FY27E-FY29E. ₹ Crore. Blue = inputs (flex these). Black = formulas. Green = links from Historicals.</t>
  </si>
  <si>
    <t xml:space="preserve">Driver / Reasoning</t>
  </si>
  <si>
    <t xml:space="preserve">ORDER BOOK FORECAST (₹ Cr)</t>
  </si>
  <si>
    <t xml:space="preserve">Total OB Growth % YoY</t>
  </si>
  <si>
    <t xml:space="preserve">FY27: mgmt guided ₹30k Cr inflow → ~12% OB growth. FY28-29: ramp on bigger order book.</t>
  </si>
  <si>
    <t xml:space="preserve">Closing Total Order Book</t>
  </si>
  <si>
    <t xml:space="preserve">Segment OB Composition % (Forecast — flex these)</t>
  </si>
  <si>
    <t xml:space="preserve">Marine: Overseas-heavy (Africa, Middle East). FY27 normalise from FY26 spike, slight moderation</t>
  </si>
  <si>
    <t xml:space="preserve">Surface: Mgmt 'selective bidding' — share stays low. Slight uptick FY28+</t>
  </si>
  <si>
    <t xml:space="preserve">Metro: Mgmt highlighted Delhi MRTS Phase IV, Bangalore Metro pipeline → grows</t>
  </si>
  <si>
    <t xml:space="preserve">Bridges: RRTS, elevated corridors. Stable share</t>
  </si>
  <si>
    <t xml:space="preserve">Hydro: Mgmt cited Jamrani Dam, Basania Dam wins → roughly stable</t>
  </si>
  <si>
    <t xml:space="preserve">O&amp;G: Mgmt 'small but selective'. Stays at 2%</t>
  </si>
  <si>
    <t xml:space="preserve">EXECUTION RATE BUILD</t>
  </si>
  <si>
    <t xml:space="preserve">FY26 Baseline Execution Rate (Rev / Opening OB)</t>
  </si>
  <si>
    <t xml:space="preserve">Baseline = FY26 Revenue ÷ FY25 closing OB</t>
  </si>
  <si>
    <t xml:space="preserve">Segment Execution Adjustment (pp vs baseline) — flex these</t>
  </si>
  <si>
    <t xml:space="preserve">FY27 -3pp: heavy overseas exposure (Africa) — geopolitical drag persists. FY28-29: recovery.</t>
  </si>
  <si>
    <t xml:space="preserve">FY27 -2pp: mgmt cited 'selective bidding'; new contracts ramp slower. FY28-29: modest improvement.</t>
  </si>
  <si>
    <t xml:space="preserve">FY27 -1pp: HSR &amp; metro execution continues but slower start on FY27 new wins. Recovery FY28-29.</t>
  </si>
  <si>
    <t xml:space="preserve">FY27 -1pp: similar to Metro — ramp lag. Recovery FY28-29.</t>
  </si>
  <si>
    <t xml:space="preserve">FY27 -2pp: Hydro/tunnels are long-cycle; new wins (Jamrani, Basania) take time to ramp.</t>
  </si>
  <si>
    <t xml:space="preserve">FY27 0pp: small base, mgmt 'selective' — stable execution rate.</t>
  </si>
  <si>
    <t xml:space="preserve">Weighted Avg Execution Adjustment</t>
  </si>
  <si>
    <t xml:space="preserve">Weighted Adjustment (weighted by opening OB share)</t>
  </si>
  <si>
    <t xml:space="preserve">Σ(segment adjustment × prior-year OB share)</t>
  </si>
  <si>
    <t xml:space="preserve">Final Execution Rate (Baseline + Weighted Adj)</t>
  </si>
  <si>
    <t xml:space="preserve">FY26 Baseline + Weighted Adjustment</t>
  </si>
  <si>
    <t xml:space="preserve">PROJECTED P&amp;L (₹ Cr)</t>
  </si>
  <si>
    <t xml:space="preserve">Opening OB times Execution Rate</t>
  </si>
  <si>
    <t xml:space="preserve">YoY Growth %</t>
  </si>
  <si>
    <t xml:space="preserve">Other Income</t>
  </si>
  <si>
    <t xml:space="preserve">FY27-29: 3.0% of Revenue from Ops (steady-state treasury income)</t>
  </si>
  <si>
    <t xml:space="preserve">Operating Expenses (forecasted as % of Revenue from Ops)</t>
  </si>
  <si>
    <t xml:space="preserve">Cost of Material Consumed (% Revenue)</t>
  </si>
  <si>
    <t xml:space="preserve">FY26 base 23.8%. Mgmt: 'procurement scale + better commodity hedging' → modest improvement. Stable from FY28.</t>
  </si>
  <si>
    <t xml:space="preserve">Cost of Construction (Sub-contract) (% Revenue)</t>
  </si>
  <si>
    <t xml:space="preserve">FY26 base 42.2%. Mgmt: 'sub-contract intensity stable'. Held flat — biggest cost line, low operating leverage.</t>
  </si>
  <si>
    <t xml:space="preserve">Employee Expenses (% Revenue)</t>
  </si>
  <si>
    <t xml:space="preserve">FY26 base 12.2%. Mgmt: 'employee cost grows slower than revenue as we scale'. Operating leverage on fixed staff.</t>
  </si>
  <si>
    <t xml:space="preserve">Other Expenses (% Revenue)</t>
  </si>
  <si>
    <t xml:space="preserve">FY26 base 12.9%. Labour code drag (~60bps) FY26. FY27-29: normalize as labour code base-effect washes out.</t>
  </si>
  <si>
    <t xml:space="preserve">Cost Lines (₹ Cr) = % × Revenue from Ops</t>
  </si>
  <si>
    <t xml:space="preserve">Cost of Material Consumed</t>
  </si>
  <si>
    <t xml:space="preserve">Employee Expenses</t>
  </si>
  <si>
    <t xml:space="preserve">Other Expenses</t>
  </si>
  <si>
    <t xml:space="preserve">Total Operating Expenses</t>
  </si>
  <si>
    <t xml:space="preserve">EBITDA</t>
  </si>
  <si>
    <t xml:space="preserve">Revenue from Ops - OpEx (NOT incl Other Income)</t>
  </si>
  <si>
    <t xml:space="preserve">EBITDA Margin (% of Revenue from Ops)</t>
  </si>
  <si>
    <t xml:space="preserve">OUTPUT (not input) — derived from cost build</t>
  </si>
  <si>
    <t xml:space="preserve">Depreciation &amp; Amortization</t>
  </si>
  <si>
    <t xml:space="preserve">FY27-29: 4.0%/3.8%/3.6% of Rev. FY26 ₹725 Cr capex per mgmt guidance → higher D&amp;A FY27</t>
  </si>
  <si>
    <t xml:space="preserve">EBIT</t>
  </si>
  <si>
    <t xml:space="preserve">EBITDA + Other Income - D&amp;A</t>
  </si>
  <si>
    <t xml:space="preserve">Finance Cost</t>
  </si>
  <si>
    <t xml:space="preserve">Constant CoD times Average Debt (Opening + Closing) divided by 2</t>
  </si>
  <si>
    <t xml:space="preserve">(Cost of Debt assumption — kept constant)</t>
  </si>
  <si>
    <t xml:space="preserve">Per user direction: kept constant at 10.5% (finance cost incl WC loans). No RBI cycle adjustments.</t>
  </si>
  <si>
    <t xml:space="preserve">Profit Before Tax</t>
  </si>
  <si>
    <t xml:space="preserve">Tax Expense</t>
  </si>
  <si>
    <t xml:space="preserve">(Effective Tax Rate)</t>
  </si>
  <si>
    <t xml:space="preserve">Normalized 25.5% (22% concessional regime + cess)</t>
  </si>
  <si>
    <t xml:space="preserve">Profit After Tax</t>
  </si>
  <si>
    <t xml:space="preserve">PAT Margin (%)</t>
  </si>
  <si>
    <t xml:space="preserve">Shares Outstanding: 36.798 Cr (post-IPO, no further dilution)</t>
  </si>
  <si>
    <t xml:space="preserve">PROJECTED BALANCE SHEET (₹ Cr)</t>
  </si>
  <si>
    <t xml:space="preserve">Equity &amp; Liabilities</t>
  </si>
  <si>
    <t xml:space="preserve">Total Equity (rollforward)</t>
  </si>
  <si>
    <t xml:space="preserve">(less: Dividends paid)</t>
  </si>
  <si>
    <t xml:space="preserve">DPS: FY27 ₹3, FY28 ₹4, FY29 ₹5. Growing absolute DPS with PAT recovery.</t>
  </si>
  <si>
    <t xml:space="preserve">Net Debt Drawdown / (Repayment)</t>
  </si>
  <si>
    <t xml:space="preserve">FY27: maintained for WC. FY28-29: net repayment from FCF. (Includes WC loans)</t>
  </si>
  <si>
    <t xml:space="preserve">Total Debt (incl WC loans) — closing</t>
  </si>
  <si>
    <t xml:space="preserve">Working Capital Items (Days × Revenue ÷ 365)</t>
  </si>
  <si>
    <t xml:space="preserve">Trade Receivables (Days)</t>
  </si>
  <si>
    <t xml:space="preserve">FY26 base 123d. Mgmt 'collection focus FY27' — gradual 5d/yr improvement. 118d/110d/102d.</t>
  </si>
  <si>
    <t xml:space="preserve">Contract Assets (Unbilled) (Days)</t>
  </si>
  <si>
    <t xml:space="preserve">FY26 base 236d. Long-cycle Metro+Hydro keeps high. Slow normalize 228d/215d/200d.</t>
  </si>
  <si>
    <t xml:space="preserve">Inventories (Days)</t>
  </si>
  <si>
    <t xml:space="preserve">FY26 base 31d. Stable; slight improvement on scale.</t>
  </si>
  <si>
    <t xml:space="preserve">Trade Payables (Days)</t>
  </si>
  <si>
    <t xml:space="preserve">FY26 base 137d. Mgmt: 'supplier negotiation post-IPO' → tightening. 130/122/115d.</t>
  </si>
  <si>
    <t xml:space="preserve">Contract Liabilities (Advances) (Days)</t>
  </si>
  <si>
    <t xml:space="preserve">FY26 base 125d. Mgmt: 'more advance-heavy overseas contracts' → growing.</t>
  </si>
  <si>
    <t xml:space="preserve">Working Capital Items (₹ Cr)</t>
  </si>
  <si>
    <t xml:space="preserve">Trade Receivables</t>
  </si>
  <si>
    <t xml:space="preserve">Contract Assets</t>
  </si>
  <si>
    <t xml:space="preserve">Inventories</t>
  </si>
  <si>
    <t xml:space="preserve">Trade Payables</t>
  </si>
  <si>
    <t xml:space="preserve">Contract Liabilities</t>
  </si>
  <si>
    <t xml:space="preserve">Other Balance Sheet Items (held stable or modest growth)</t>
  </si>
  <si>
    <t xml:space="preserve">Lease Liabilities</t>
  </si>
  <si>
    <t xml:space="preserve">Stable assumption</t>
  </si>
  <si>
    <t xml:space="preserve">Other Financial Liab</t>
  </si>
  <si>
    <t xml:space="preserve">FY26 ₹1,057 elevated; revert to normal</t>
  </si>
  <si>
    <t xml:space="preserve">Provisions</t>
  </si>
  <si>
    <t xml:space="preserve">+5%/yr</t>
  </si>
  <si>
    <t xml:space="preserve">Tax Liab (net)</t>
  </si>
  <si>
    <t xml:space="preserve">Other Liab</t>
  </si>
  <si>
    <t xml:space="preserve">Total Liabilities</t>
  </si>
  <si>
    <t xml:space="preserve">Total Equity &amp; Liabilities</t>
  </si>
  <si>
    <t xml:space="preserve">Assets</t>
  </si>
  <si>
    <t xml:space="preserve">Tangible Assets (PPE + CWIP + ROU)</t>
  </si>
  <si>
    <t xml:space="preserve">Prior + Capex - D&amp;A. FY27 Rs 725 Cr per mgmt guidance. FY28-29: Rs 600 Cr steady-state.</t>
  </si>
  <si>
    <t xml:space="preserve">Intangible Assets</t>
  </si>
  <si>
    <t xml:space="preserve">Investments</t>
  </si>
  <si>
    <t xml:space="preserve">Contract Assets (Unbilled)</t>
  </si>
  <si>
    <t xml:space="preserve">Cash &amp; Bank Balance (PLUG)</t>
  </si>
  <si>
    <t xml:space="preserve">PLUG: balances BS. Cash = Tot E&amp;L - all other assets.</t>
  </si>
  <si>
    <t xml:space="preserve">Loans &amp; Advances</t>
  </si>
  <si>
    <t xml:space="preserve">Other Financial Assets</t>
  </si>
  <si>
    <t xml:space="preserve">Non-current Tax Assets</t>
  </si>
  <si>
    <t xml:space="preserve">Other Assets</t>
  </si>
  <si>
    <t xml:space="preserve">Total Assets</t>
  </si>
  <si>
    <t xml:space="preserve">BS Tie: Assets - (Eq+Liab)</t>
  </si>
  <si>
    <t xml:space="preserve">Should be 0 (cash is plug)</t>
  </si>
  <si>
    <t xml:space="preserve">PROJECTED CASH FLOW (₹ Cr)</t>
  </si>
  <si>
    <t xml:space="preserve">Add: Depreciation</t>
  </si>
  <si>
    <t xml:space="preserve">Add: Finance Cost</t>
  </si>
  <si>
    <t xml:space="preserve">Less: Change in WC</t>
  </si>
  <si>
    <t xml:space="preserve">Negative = increase in WC = use of cash</t>
  </si>
  <si>
    <t xml:space="preserve">Net Cash from Operations</t>
  </si>
  <si>
    <t xml:space="preserve">Less: Capex</t>
  </si>
  <si>
    <t xml:space="preserve">Net Cash from Investing</t>
  </si>
  <si>
    <t xml:space="preserve">Less: Finance Cost Paid</t>
  </si>
  <si>
    <t xml:space="preserve">Less: Dividends Paid</t>
  </si>
  <si>
    <t xml:space="preserve">Net Cash from Financing</t>
  </si>
  <si>
    <t xml:space="preserve">Net Change in Cash</t>
  </si>
  <si>
    <t xml:space="preserve">Opening Cash</t>
  </si>
  <si>
    <t xml:space="preserve">Closing Cash</t>
  </si>
  <si>
    <t xml:space="preserve">CF Closing Cash vs BS Cash variance</t>
  </si>
  <si>
    <t xml:space="preserve">Should be small (some variance from BS plug methodology)</t>
  </si>
  <si>
    <t xml:space="preserve">FCFF BUILD (for DCF)</t>
  </si>
  <si>
    <t xml:space="preserve">Less: Tax on EBIT @ 25.5%</t>
  </si>
  <si>
    <t xml:space="preserve">NOPAT</t>
  </si>
  <si>
    <t xml:space="preserve">Add: D&amp;A</t>
  </si>
  <si>
    <t xml:space="preserve">Less: Change in NWC</t>
  </si>
  <si>
    <t xml:space="preserve">FCFF (Free Cash Flow to Firm)</t>
  </si>
  <si>
    <t xml:space="preserve">AFCONS INFRASTRUCTURE — VALUATION</t>
  </si>
  <si>
    <t xml:space="preserve">DCF (6-year explicit + Gordon TV) and Relative Valuation</t>
  </si>
  <si>
    <t xml:space="preserve">DISCOUNTED CASH FLOW (DCF)</t>
  </si>
  <si>
    <t xml:space="preserve">Cost of Capital Build</t>
  </si>
  <si>
    <t xml:space="preserve">Risk-Free Rate (10Y G-Sec)</t>
  </si>
  <si>
    <t xml:space="preserve">RBI 10Y G-Sec yield as of May 2026</t>
  </si>
  <si>
    <t xml:space="preserve">Equity Risk Premium (India)</t>
  </si>
  <si>
    <t xml:space="preserve">Damodaran 2026 India ERP</t>
  </si>
  <si>
    <t xml:space="preserve">Beta (Levered)</t>
  </si>
  <si>
    <t xml:space="preserve">EPC peer regression</t>
  </si>
  <si>
    <t xml:space="preserve">Cost of Equity (Ke) [CAPM]</t>
  </si>
  <si>
    <t xml:space="preserve">Rf + Beta × ERP</t>
  </si>
  <si>
    <t xml:space="preserve">Pre-tax Cost of Debt (Kd)</t>
  </si>
  <si>
    <t xml:space="preserve">Same as model assumption (constant)</t>
  </si>
  <si>
    <t xml:space="preserve">Effective Tax Rate</t>
  </si>
  <si>
    <t xml:space="preserve">Concessional regime</t>
  </si>
  <si>
    <t xml:space="preserve">After-tax Cost of Debt</t>
  </si>
  <si>
    <t xml:space="preserve">Kd × (1−T)</t>
  </si>
  <si>
    <t xml:space="preserve">Target D / (D+E)</t>
  </si>
  <si>
    <t xml:space="preserve">Conservative target leverage post-IPO</t>
  </si>
  <si>
    <t xml:space="preserve">Target E / (D+E)</t>
  </si>
  <si>
    <t xml:space="preserve">1 − D/(D+E)</t>
  </si>
  <si>
    <t xml:space="preserve">WACC</t>
  </si>
  <si>
    <t xml:space="preserve">Weighted average</t>
  </si>
  <si>
    <t xml:space="preserve">Terminal Growth (g)</t>
  </si>
  <si>
    <t xml:space="preserve">India LT nominal GDP × moderation factor</t>
  </si>
  <si>
    <t xml:space="preserve">FCFF Projection (₹ Cr)</t>
  </si>
  <si>
    <t xml:space="preserve">FY30E</t>
  </si>
  <si>
    <t xml:space="preserve">FY31E</t>
  </si>
  <si>
    <t xml:space="preserve">FY32E</t>
  </si>
  <si>
    <t xml:space="preserve">FCFF</t>
  </si>
  <si>
    <t xml:space="preserve">  Growth rate (input for FY30-32)</t>
  </si>
  <si>
    <t xml:space="preserve">Terminal Value (at FY32)</t>
  </si>
  <si>
    <t xml:space="preserve">Year (from valuation date)</t>
  </si>
  <si>
    <t xml:space="preserve">Discount Factor</t>
  </si>
  <si>
    <t xml:space="preserve">PV of FCFF</t>
  </si>
  <si>
    <t xml:space="preserve">PV of Terminal Value</t>
  </si>
  <si>
    <t xml:space="preserve">DCF Valuation Summary</t>
  </si>
  <si>
    <t xml:space="preserve">Sum of PV(FCFF) FY27-32</t>
  </si>
  <si>
    <t xml:space="preserve">Enterprise Value (EV)</t>
  </si>
  <si>
    <t xml:space="preserve">Less: Net Debt (FY26)</t>
  </si>
  <si>
    <t xml:space="preserve">Equity Value</t>
  </si>
  <si>
    <t xml:space="preserve">Shares Outstanding (Cr)</t>
  </si>
  <si>
    <t xml:space="preserve">DCF Implied Price (₹/share)</t>
  </si>
  <si>
    <t xml:space="preserve">Current Market Price (₹)</t>
  </si>
  <si>
    <t xml:space="preserve">Upside / (Downside)</t>
  </si>
  <si>
    <t xml:space="preserve">DCF Sensitivity — Implied Price (₹) | WACC (cols) × Terminal Growth (rows)</t>
  </si>
  <si>
    <t xml:space="preserve">g \ WACC →</t>
  </si>
  <si>
    <t xml:space="preserve">RELATIVE VALUATION</t>
  </si>
  <si>
    <t xml:space="preserve">Peer Multiples (May 2026)</t>
  </si>
  <si>
    <t xml:space="preserve">Company</t>
  </si>
  <si>
    <t xml:space="preserve">P/E (x)</t>
  </si>
  <si>
    <t xml:space="preserve">P/B (x)</t>
  </si>
  <si>
    <t xml:space="preserve">EV/EBITDA (x)</t>
  </si>
  <si>
    <t xml:space="preserve">EBITDA Margin</t>
  </si>
  <si>
    <t xml:space="preserve">Larsen &amp; Toubro</t>
  </si>
  <si>
    <t xml:space="preserve">Note: diversified, excluded from median</t>
  </si>
  <si>
    <t xml:space="preserve">KEC International</t>
  </si>
  <si>
    <t xml:space="preserve">T&amp;D + railway</t>
  </si>
  <si>
    <t xml:space="preserve">Kalpataru Projects (KPIL)</t>
  </si>
  <si>
    <t xml:space="preserve">T&amp;D + civil</t>
  </si>
  <si>
    <t xml:space="preserve">NCC Ltd</t>
  </si>
  <si>
    <t xml:space="preserve">Buildings + roads</t>
  </si>
  <si>
    <t xml:space="preserve">Ircon International</t>
  </si>
  <si>
    <t xml:space="preserve">Railway PSU</t>
  </si>
  <si>
    <t xml:space="preserve">Peer Median (excl L&amp;T)</t>
  </si>
  <si>
    <t xml:space="preserve">Afcons (Current)</t>
  </si>
  <si>
    <t xml:space="preserve">Target Multiples &amp; Implied Price</t>
  </si>
  <si>
    <t xml:space="preserve">Multiple</t>
  </si>
  <si>
    <t xml:space="preserve">Target</t>
  </si>
  <si>
    <t xml:space="preserve">Forward Metric</t>
  </si>
  <si>
    <t xml:space="preserve">Rationale</t>
  </si>
  <si>
    <t xml:space="preserve">Peer median ~12x; slight discount for execution risk</t>
  </si>
  <si>
    <t xml:space="preserve">Peer median ~25x; small-cap discount</t>
  </si>
  <si>
    <t xml:space="preserve">Peer median ~2.4x</t>
  </si>
  <si>
    <t xml:space="preserve">Blended Target Price</t>
  </si>
  <si>
    <t xml:space="preserve">Weighted (₹)</t>
  </si>
  <si>
    <t xml:space="preserve">BLENDED TARGET PRICE</t>
  </si>
  <si>
    <t xml:space="preserve">Sum →</t>
  </si>
  <si>
    <t xml:space="preserve">Implied Upside / (Downside)</t>
  </si>
  <si>
    <t xml:space="preserve">Recommendation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</si>
</sst>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.00"/>
    <numFmt numFmtId="166" formatCode="0.0%;\(0.0%\);\-"/>
    <numFmt numFmtId="167" formatCode="#,##0.00;\(#,##0.00\);\-"/>
    <numFmt numFmtId="168" formatCode="#,##0;\(#,##0\);\-"/>
    <numFmt numFmtId="169" formatCode="0.00\x"/>
    <numFmt numFmtId="170" formatCode="#,##0.00"/>
    <numFmt numFmtId="171" formatCode="0.00%"/>
    <numFmt numFmtId="172" formatCode="0.00%;\(0.00%\);\-"/>
    <numFmt numFmtId="173" formatCode="0.0"/>
    <numFmt numFmtId="174" formatCode="0"/>
    <numFmt numFmtId="175" formatCode="0.00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6060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64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06060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i val="true"/>
      <sz val="9"/>
      <color rgb="FF606060"/>
      <name val="Arial"/>
      <family val="0"/>
      <charset val="1"/>
    </font>
    <font>
      <i val="true"/>
      <sz val="8"/>
      <color rgb="FF0064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60606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i val="true"/>
      <sz val="10"/>
      <color rgb="FF006400"/>
      <name val="Arial"/>
      <family val="0"/>
      <charset val="1"/>
    </font>
    <font>
      <b val="true"/>
      <i val="true"/>
      <sz val="10"/>
      <color rgb="FF60606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00640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CC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699"/>
      </patternFill>
    </fill>
    <fill>
      <patternFill patternType="solid">
        <fgColor rgb="FFB4C7E7"/>
        <bgColor rgb="FFCCCCFF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7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4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2" fontId="2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6" fontId="2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8" fontId="2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3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8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7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2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32"/>
    <col collapsed="false" customWidth="true" hidden="false" outlineLevel="0" max="9" min="3" style="1" width="13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9.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</row>
    <row r="7" customFormat="false" ht="21.75" hidden="false" customHeight="true" outlineLevel="0" collapsed="false">
      <c r="B7" s="5" t="s">
        <v>3</v>
      </c>
      <c r="C7" s="6" t="str">
        <f aca="false">Valuation!E83</f>
        <v>HOLD</v>
      </c>
    </row>
    <row r="8" customFormat="false" ht="15" hidden="false" customHeight="true" outlineLevel="0" collapsed="false">
      <c r="B8" s="7" t="s">
        <v>4</v>
      </c>
      <c r="C8" s="8" t="n">
        <f aca="false">Valuation!E79</f>
        <v>349.562166242282</v>
      </c>
    </row>
    <row r="9" customFormat="false" ht="15" hidden="false" customHeight="true" outlineLevel="0" collapsed="false">
      <c r="B9" s="9" t="s">
        <v>5</v>
      </c>
      <c r="C9" s="10" t="n">
        <f aca="false">Valuation!C40</f>
        <v>305.45</v>
      </c>
    </row>
    <row r="10" customFormat="false" ht="15" hidden="false" customHeight="true" outlineLevel="0" collapsed="false">
      <c r="B10" s="7" t="s">
        <v>6</v>
      </c>
      <c r="C10" s="11" t="n">
        <f aca="false">Valuation!E82</f>
        <v>0.14441697902204</v>
      </c>
    </row>
    <row r="13" customFormat="false" ht="19.5" hidden="false" customHeight="true" outlineLevel="0" collapsed="false">
      <c r="B13" s="4" t="s">
        <v>7</v>
      </c>
      <c r="C13" s="4"/>
      <c r="D13" s="4"/>
      <c r="E13" s="4"/>
      <c r="F13" s="4"/>
      <c r="G13" s="4"/>
      <c r="H13" s="4"/>
      <c r="I13" s="4"/>
    </row>
    <row r="14" customFormat="false" ht="15" hidden="false" customHeight="true" outlineLevel="0" collapsed="false">
      <c r="B14" s="9" t="s">
        <v>8</v>
      </c>
      <c r="C14" s="12" t="n">
        <f aca="false">Valuation!C38</f>
        <v>36.798</v>
      </c>
    </row>
    <row r="15" customFormat="false" ht="15" hidden="false" customHeight="true" outlineLevel="0" collapsed="false">
      <c r="B15" s="9" t="s">
        <v>9</v>
      </c>
      <c r="C15" s="13" t="n">
        <f aca="false">Valuation!C40*Valuation!C38</f>
        <v>11239.9491</v>
      </c>
    </row>
    <row r="16" customFormat="false" ht="15" hidden="false" customHeight="true" outlineLevel="0" collapsed="false">
      <c r="B16" s="9" t="s">
        <v>10</v>
      </c>
      <c r="C16" s="14" t="n">
        <f aca="false">Historicals!G216-Historicals!G225</f>
        <v>2652.38</v>
      </c>
    </row>
    <row r="17" customFormat="false" ht="15" hidden="false" customHeight="true" outlineLevel="0" collapsed="false">
      <c r="B17" s="7" t="s">
        <v>11</v>
      </c>
      <c r="C17" s="15" t="n">
        <f aca="false">C15+C16</f>
        <v>13892.3291</v>
      </c>
    </row>
    <row r="20" customFormat="false" ht="19.5" hidden="false" customHeight="true" outlineLevel="0" collapsed="false">
      <c r="B20" s="4" t="s">
        <v>12</v>
      </c>
      <c r="C20" s="4"/>
      <c r="D20" s="4"/>
      <c r="E20" s="4"/>
      <c r="F20" s="4"/>
      <c r="G20" s="4"/>
      <c r="H20" s="4"/>
      <c r="I20" s="4"/>
    </row>
    <row r="21" customFormat="false" ht="15" hidden="false" customHeight="true" outlineLevel="0" collapsed="false">
      <c r="C21" s="16" t="s">
        <v>13</v>
      </c>
      <c r="D21" s="16" t="s">
        <v>14</v>
      </c>
      <c r="E21" s="16" t="s">
        <v>15</v>
      </c>
      <c r="F21" s="16" t="s">
        <v>16</v>
      </c>
      <c r="G21" s="16" t="s">
        <v>17</v>
      </c>
      <c r="H21" s="16" t="s">
        <v>18</v>
      </c>
      <c r="I21" s="16" t="s">
        <v>19</v>
      </c>
    </row>
    <row r="22" customFormat="false" ht="15" hidden="false" customHeight="true" outlineLevel="0" collapsed="false">
      <c r="B22" s="9" t="s">
        <v>20</v>
      </c>
      <c r="C22" s="14" t="n">
        <f aca="false">Historicals!D8</f>
        <v>12637.38</v>
      </c>
      <c r="D22" s="14" t="n">
        <f aca="false">Historicals!E8</f>
        <v>13267.5</v>
      </c>
      <c r="E22" s="14" t="n">
        <f aca="false">Historicals!F8</f>
        <v>12548.42</v>
      </c>
      <c r="F22" s="14" t="n">
        <f aca="false">Historicals!G8</f>
        <v>11948.38</v>
      </c>
      <c r="G22" s="14" t="n">
        <f aca="false">Projections!E40</f>
        <v>10011.2606198676</v>
      </c>
      <c r="H22" s="14" t="n">
        <f aca="false">Projections!F40</f>
        <v>12118.8505814517</v>
      </c>
      <c r="I22" s="14" t="n">
        <f aca="false">Projections!G40</f>
        <v>14725.411571409</v>
      </c>
    </row>
    <row r="23" customFormat="false" ht="15" hidden="false" customHeight="true" outlineLevel="0" collapsed="false">
      <c r="B23" s="17" t="s">
        <v>21</v>
      </c>
      <c r="D23" s="18" t="n">
        <f aca="false">D22/C22-1</f>
        <v>0.0498616010597135</v>
      </c>
      <c r="E23" s="18" t="n">
        <f aca="false">E22/D22-1</f>
        <v>-0.0541986056152252</v>
      </c>
      <c r="F23" s="18" t="n">
        <f aca="false">F22/E22-1</f>
        <v>-0.0478179723024892</v>
      </c>
      <c r="G23" s="18" t="n">
        <f aca="false">G22/F22-1</f>
        <v>-0.162124018497271</v>
      </c>
      <c r="H23" s="18" t="n">
        <f aca="false">H22/G22-1</f>
        <v>0.210521935409568</v>
      </c>
      <c r="I23" s="18" t="n">
        <f aca="false">I22/H22-1</f>
        <v>0.215083185689799</v>
      </c>
    </row>
    <row r="24" customFormat="false" ht="15" hidden="false" customHeight="true" outlineLevel="0" collapsed="false">
      <c r="B24" s="9" t="s">
        <v>22</v>
      </c>
      <c r="C24" s="14" t="n">
        <f aca="false">Historicals!D210</f>
        <v>1310.61</v>
      </c>
      <c r="D24" s="14" t="n">
        <f aca="false">Historicals!E210</f>
        <v>1365.03</v>
      </c>
      <c r="E24" s="14" t="n">
        <f aca="false">Historicals!F210</f>
        <v>1355.96</v>
      </c>
      <c r="F24" s="14" t="n">
        <f aca="false">Historicals!G210</f>
        <v>1217.11</v>
      </c>
      <c r="G24" s="14" t="n">
        <f aca="false">Projections!E58</f>
        <v>1051.1823650861</v>
      </c>
      <c r="H24" s="14" t="n">
        <f aca="false">Projections!F58</f>
        <v>1393.66781686694</v>
      </c>
      <c r="I24" s="14" t="n">
        <f aca="false">Projections!G58</f>
        <v>1722.87315385485</v>
      </c>
    </row>
    <row r="25" customFormat="false" ht="15" hidden="false" customHeight="true" outlineLevel="0" collapsed="false">
      <c r="B25" s="17" t="s">
        <v>23</v>
      </c>
      <c r="C25" s="18" t="n">
        <f aca="false">C24/C22</f>
        <v>0.103708996643291</v>
      </c>
      <c r="D25" s="18" t="n">
        <f aca="false">D24/D22</f>
        <v>0.102885245901639</v>
      </c>
      <c r="E25" s="18" t="n">
        <f aca="false">E24/E22</f>
        <v>0.108058225657095</v>
      </c>
      <c r="F25" s="18" t="n">
        <f aca="false">F24/F22</f>
        <v>0.101864018385756</v>
      </c>
      <c r="G25" s="18" t="n">
        <f aca="false">G24/G22</f>
        <v>0.105</v>
      </c>
      <c r="H25" s="18" t="n">
        <f aca="false">H24/H22</f>
        <v>0.115</v>
      </c>
      <c r="I25" s="18" t="n">
        <f aca="false">I24/I22</f>
        <v>0.117</v>
      </c>
    </row>
    <row r="26" customFormat="false" ht="15" hidden="false" customHeight="true" outlineLevel="0" collapsed="false">
      <c r="B26" s="9" t="s">
        <v>24</v>
      </c>
      <c r="C26" s="14" t="n">
        <f aca="false">Historicals!D31</f>
        <v>410.859999999998</v>
      </c>
      <c r="D26" s="14" t="n">
        <f aca="false">Historicals!E31</f>
        <v>449.759999999999</v>
      </c>
      <c r="E26" s="14" t="n">
        <f aca="false">Historicals!F31</f>
        <v>486.79</v>
      </c>
      <c r="F26" s="14" t="n">
        <f aca="false">Historicals!G31</f>
        <v>250.739999999997</v>
      </c>
      <c r="G26" s="14" t="n">
        <f aca="false">Projections!E70</f>
        <v>431.765799621128</v>
      </c>
      <c r="H26" s="14" t="n">
        <f aca="false">Projections!F70</f>
        <v>697.095503350421</v>
      </c>
      <c r="I26" s="14" t="n">
        <f aca="false">Projections!G70</f>
        <v>968.315489147667</v>
      </c>
    </row>
    <row r="27" customFormat="false" ht="15" hidden="false" customHeight="true" outlineLevel="0" collapsed="false">
      <c r="B27" s="9" t="s">
        <v>25</v>
      </c>
      <c r="C27" s="12" t="n">
        <f aca="false">Historicals!D51</f>
        <v>12.06</v>
      </c>
      <c r="D27" s="12" t="n">
        <f aca="false">Historicals!E51</f>
        <v>13.2</v>
      </c>
      <c r="E27" s="12" t="n">
        <f aca="false">Historicals!F51</f>
        <v>13.24</v>
      </c>
      <c r="F27" s="12" t="n">
        <f aca="false">Historicals!G51</f>
        <v>6.82</v>
      </c>
      <c r="G27" s="12" t="n">
        <f aca="false">Projections!E72</f>
        <v>11.7334039790512</v>
      </c>
      <c r="H27" s="12" t="n">
        <f aca="false">Projections!F72</f>
        <v>18.9438421476825</v>
      </c>
      <c r="I27" s="12" t="n">
        <f aca="false">Projections!G72</f>
        <v>26.3143510285251</v>
      </c>
    </row>
    <row r="28" customFormat="false" ht="15" hidden="false" customHeight="true" outlineLevel="0" collapsed="false">
      <c r="B28" s="9" t="s">
        <v>26</v>
      </c>
      <c r="C28" s="14" t="n">
        <f aca="false">Historicals!D243</f>
        <v>30406</v>
      </c>
      <c r="D28" s="14" t="n">
        <f aca="false">Historicals!E243</f>
        <v>30961</v>
      </c>
      <c r="E28" s="14" t="n">
        <f aca="false">Historicals!F243</f>
        <v>36868.61</v>
      </c>
      <c r="F28" s="14" t="n">
        <f aca="false">Historicals!G243</f>
        <v>32495.65</v>
      </c>
      <c r="G28" s="14" t="n">
        <f aca="false">Projections!E9</f>
        <v>36395.128</v>
      </c>
      <c r="H28" s="14" t="n">
        <f aca="false">Projections!F9</f>
        <v>42946.25104</v>
      </c>
      <c r="I28" s="14" t="n">
        <f aca="false">Projections!G9</f>
        <v>49388.188696</v>
      </c>
    </row>
    <row r="29" customFormat="false" ht="15" hidden="false" customHeight="true" outlineLevel="0" collapsed="false">
      <c r="B29" s="17" t="s">
        <v>27</v>
      </c>
      <c r="C29" s="19" t="n">
        <f aca="false">C28/C22</f>
        <v>2.4060366943148</v>
      </c>
      <c r="D29" s="19" t="n">
        <f aca="false">D28/D22</f>
        <v>2.3335971358583</v>
      </c>
      <c r="E29" s="19" t="n">
        <f aca="false">E28/E22</f>
        <v>2.93810774583573</v>
      </c>
      <c r="F29" s="19" t="n">
        <f aca="false">F28/F22</f>
        <v>2.7196699468882</v>
      </c>
      <c r="G29" s="19" t="n">
        <f aca="false">G28/G22</f>
        <v>3.63541909275372</v>
      </c>
      <c r="H29" s="19" t="n">
        <f aca="false">H28/H22</f>
        <v>3.54375613028274</v>
      </c>
      <c r="I29" s="19" t="n">
        <f aca="false">I28/I22</f>
        <v>3.35394283932224</v>
      </c>
    </row>
    <row r="32" customFormat="false" ht="19.5" hidden="false" customHeight="true" outlineLevel="0" collapsed="false">
      <c r="B32" s="4" t="s">
        <v>28</v>
      </c>
      <c r="C32" s="4"/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B33" s="16" t="s">
        <v>29</v>
      </c>
      <c r="C33" s="16" t="s">
        <v>30</v>
      </c>
      <c r="D33" s="16" t="s">
        <v>31</v>
      </c>
      <c r="E33" s="16" t="s">
        <v>32</v>
      </c>
    </row>
    <row r="34" customFormat="false" ht="15" hidden="false" customHeight="true" outlineLevel="0" collapsed="false">
      <c r="B34" s="9" t="s">
        <v>33</v>
      </c>
      <c r="C34" s="12" t="n">
        <f aca="false">Valuation!C39</f>
        <v>359.415755225888</v>
      </c>
      <c r="D34" s="20" t="n">
        <f aca="false">Valuation!D75</f>
        <v>0.4</v>
      </c>
      <c r="E34" s="21" t="n">
        <f aca="false">C34*D34</f>
        <v>143.766302090355</v>
      </c>
    </row>
    <row r="35" customFormat="false" ht="15" hidden="false" customHeight="true" outlineLevel="0" collapsed="false">
      <c r="B35" s="9" t="s">
        <v>34</v>
      </c>
      <c r="C35" s="12" t="n">
        <f aca="false">Valuation!E68</f>
        <v>344.528669643361</v>
      </c>
      <c r="D35" s="20" t="n">
        <f aca="false">Valuation!D76</f>
        <v>0.3</v>
      </c>
      <c r="E35" s="21" t="n">
        <f aca="false">C35*D35</f>
        <v>103.358600893008</v>
      </c>
    </row>
    <row r="36" customFormat="false" ht="15" hidden="false" customHeight="true" outlineLevel="0" collapsed="false">
      <c r="B36" s="9" t="s">
        <v>35</v>
      </c>
      <c r="C36" s="12" t="n">
        <f aca="false">Valuation!E69</f>
        <v>378.87684295365</v>
      </c>
      <c r="D36" s="20" t="n">
        <f aca="false">Valuation!D77</f>
        <v>0.2</v>
      </c>
      <c r="E36" s="21" t="n">
        <f aca="false">C36*D36</f>
        <v>75.7753685907301</v>
      </c>
    </row>
    <row r="37" customFormat="false" ht="15" hidden="false" customHeight="true" outlineLevel="0" collapsed="false">
      <c r="B37" s="9" t="s">
        <v>36</v>
      </c>
      <c r="C37" s="12" t="n">
        <f aca="false">Valuation!E70</f>
        <v>266.618946681885</v>
      </c>
      <c r="D37" s="20" t="n">
        <f aca="false">Valuation!D78</f>
        <v>0.1</v>
      </c>
      <c r="E37" s="21" t="n">
        <f aca="false">C37*D37</f>
        <v>26.6618946681885</v>
      </c>
    </row>
    <row r="38" customFormat="false" ht="15" hidden="false" customHeight="true" outlineLevel="0" collapsed="false">
      <c r="B38" s="22" t="s">
        <v>37</v>
      </c>
      <c r="C38" s="23" t="n">
        <f aca="false">Valuation!E79</f>
        <v>349.562166242282</v>
      </c>
      <c r="D38" s="24" t="n">
        <f aca="false">SUM(D34:D37)</f>
        <v>1</v>
      </c>
      <c r="E38" s="23" t="n">
        <f aca="false">SUM(E34:E37)</f>
        <v>349.562166242282</v>
      </c>
    </row>
    <row r="41" customFormat="false" ht="19.5" hidden="false" customHeight="true" outlineLevel="0" collapsed="false">
      <c r="B41" s="4" t="s">
        <v>38</v>
      </c>
      <c r="C41" s="4"/>
      <c r="D41" s="4"/>
      <c r="E41" s="4"/>
      <c r="F41" s="4"/>
      <c r="G41" s="4"/>
      <c r="H41" s="4"/>
      <c r="I41" s="4"/>
    </row>
    <row r="42" customFormat="false" ht="15" hidden="false" customHeight="true" outlineLevel="0" collapsed="false">
      <c r="B42" s="25" t="s">
        <v>39</v>
      </c>
      <c r="C42" s="26"/>
      <c r="D42" s="26"/>
      <c r="E42" s="26"/>
      <c r="F42" s="26"/>
      <c r="G42" s="26"/>
      <c r="H42" s="26"/>
      <c r="I42" s="26"/>
    </row>
    <row r="43" customFormat="false" ht="15" hidden="false" customHeight="true" outlineLevel="0" collapsed="false">
      <c r="B43" s="27" t="s">
        <v>40</v>
      </c>
      <c r="C43" s="27"/>
      <c r="D43" s="27"/>
      <c r="E43" s="27"/>
      <c r="F43" s="27"/>
      <c r="G43" s="27"/>
      <c r="H43" s="27"/>
      <c r="I43" s="27"/>
    </row>
    <row r="44" customFormat="false" ht="15" hidden="false" customHeight="true" outlineLevel="0" collapsed="false">
      <c r="B44" s="27" t="s">
        <v>41</v>
      </c>
      <c r="C44" s="27"/>
      <c r="D44" s="27"/>
      <c r="E44" s="27"/>
      <c r="F44" s="27"/>
      <c r="G44" s="27"/>
      <c r="H44" s="27"/>
      <c r="I44" s="27"/>
    </row>
    <row r="45" customFormat="false" ht="15" hidden="false" customHeight="true" outlineLevel="0" collapsed="false">
      <c r="B45" s="27" t="s">
        <v>42</v>
      </c>
      <c r="C45" s="27"/>
      <c r="D45" s="27"/>
      <c r="E45" s="27"/>
      <c r="F45" s="27"/>
      <c r="G45" s="27"/>
      <c r="H45" s="27"/>
      <c r="I45" s="27"/>
    </row>
    <row r="46" customFormat="false" ht="15" hidden="false" customHeight="true" outlineLevel="0" collapsed="false">
      <c r="B46" s="27" t="s">
        <v>43</v>
      </c>
      <c r="C46" s="27"/>
      <c r="D46" s="27"/>
      <c r="E46" s="27"/>
      <c r="F46" s="27"/>
      <c r="G46" s="27"/>
      <c r="H46" s="27"/>
      <c r="I46" s="27"/>
    </row>
    <row r="47" customFormat="false" ht="15" hidden="false" customHeight="true" outlineLevel="0" collapsed="false">
      <c r="B47" s="27" t="s">
        <v>44</v>
      </c>
      <c r="C47" s="27"/>
      <c r="D47" s="27"/>
      <c r="E47" s="27"/>
      <c r="F47" s="27"/>
      <c r="G47" s="27"/>
      <c r="H47" s="27"/>
      <c r="I47" s="27"/>
    </row>
    <row r="49" customFormat="false" ht="15" hidden="false" customHeight="true" outlineLevel="0" collapsed="false">
      <c r="B49" s="28" t="s">
        <v>45</v>
      </c>
      <c r="C49" s="29"/>
      <c r="D49" s="29"/>
      <c r="E49" s="29"/>
      <c r="F49" s="29"/>
      <c r="G49" s="29"/>
      <c r="H49" s="29"/>
      <c r="I49" s="29"/>
    </row>
    <row r="50" customFormat="false" ht="15" hidden="false" customHeight="true" outlineLevel="0" collapsed="false">
      <c r="B50" s="27" t="s">
        <v>46</v>
      </c>
      <c r="C50" s="27"/>
      <c r="D50" s="27"/>
      <c r="E50" s="27"/>
      <c r="F50" s="27"/>
      <c r="G50" s="27"/>
      <c r="H50" s="27"/>
      <c r="I50" s="27"/>
    </row>
    <row r="51" customFormat="false" ht="15" hidden="false" customHeight="true" outlineLevel="0" collapsed="false">
      <c r="B51" s="27" t="s">
        <v>47</v>
      </c>
      <c r="C51" s="27"/>
      <c r="D51" s="27"/>
      <c r="E51" s="27"/>
      <c r="F51" s="27"/>
      <c r="G51" s="27"/>
      <c r="H51" s="27"/>
      <c r="I51" s="27"/>
    </row>
    <row r="52" customFormat="false" ht="15" hidden="false" customHeight="true" outlineLevel="0" collapsed="false">
      <c r="B52" s="27" t="s">
        <v>48</v>
      </c>
      <c r="C52" s="27"/>
      <c r="D52" s="27"/>
      <c r="E52" s="27"/>
      <c r="F52" s="27"/>
      <c r="G52" s="27"/>
      <c r="H52" s="27"/>
      <c r="I52" s="27"/>
    </row>
    <row r="53" customFormat="false" ht="15" hidden="false" customHeight="true" outlineLevel="0" collapsed="false">
      <c r="B53" s="27" t="s">
        <v>49</v>
      </c>
      <c r="C53" s="27"/>
      <c r="D53" s="27"/>
      <c r="E53" s="27"/>
      <c r="F53" s="27"/>
      <c r="G53" s="27"/>
      <c r="H53" s="27"/>
      <c r="I53" s="27"/>
    </row>
    <row r="54" customFormat="false" ht="15" hidden="false" customHeight="true" outlineLevel="0" collapsed="false">
      <c r="B54" s="27" t="s">
        <v>50</v>
      </c>
      <c r="C54" s="27"/>
      <c r="D54" s="27"/>
      <c r="E54" s="27"/>
      <c r="F54" s="27"/>
      <c r="G54" s="27"/>
      <c r="H54" s="27"/>
      <c r="I54" s="27"/>
    </row>
    <row r="57" customFormat="false" ht="19.5" hidden="false" customHeight="true" outlineLevel="0" collapsed="false">
      <c r="B57" s="4" t="s">
        <v>51</v>
      </c>
      <c r="C57" s="4"/>
      <c r="D57" s="4"/>
      <c r="E57" s="4"/>
      <c r="F57" s="4"/>
      <c r="G57" s="4"/>
      <c r="H57" s="4"/>
      <c r="I57" s="4"/>
    </row>
    <row r="58" customFormat="false" ht="15" hidden="false" customHeight="true" outlineLevel="0" collapsed="false">
      <c r="B58" s="9" t="s">
        <v>52</v>
      </c>
      <c r="D58" s="30" t="s">
        <v>53</v>
      </c>
      <c r="E58" s="30"/>
      <c r="F58" s="30"/>
      <c r="G58" s="30"/>
      <c r="H58" s="30"/>
      <c r="I58" s="30"/>
    </row>
    <row r="59" customFormat="false" ht="15" hidden="false" customHeight="true" outlineLevel="0" collapsed="false">
      <c r="B59" s="9" t="s">
        <v>54</v>
      </c>
      <c r="D59" s="30" t="s">
        <v>55</v>
      </c>
      <c r="E59" s="30"/>
      <c r="F59" s="30"/>
      <c r="G59" s="30"/>
      <c r="H59" s="30"/>
      <c r="I59" s="30"/>
    </row>
    <row r="60" customFormat="false" ht="15" hidden="false" customHeight="true" outlineLevel="0" collapsed="false">
      <c r="B60" s="9" t="s">
        <v>56</v>
      </c>
      <c r="D60" s="30" t="s">
        <v>57</v>
      </c>
      <c r="E60" s="30"/>
      <c r="F60" s="30"/>
      <c r="G60" s="30"/>
      <c r="H60" s="30"/>
      <c r="I60" s="30"/>
    </row>
    <row r="61" customFormat="false" ht="15" hidden="false" customHeight="true" outlineLevel="0" collapsed="false">
      <c r="B61" s="9" t="s">
        <v>58</v>
      </c>
      <c r="D61" s="30" t="s">
        <v>59</v>
      </c>
      <c r="E61" s="30"/>
      <c r="F61" s="30"/>
      <c r="G61" s="30"/>
      <c r="H61" s="30"/>
      <c r="I61" s="30"/>
    </row>
    <row r="62" customFormat="false" ht="15" hidden="false" customHeight="true" outlineLevel="0" collapsed="false">
      <c r="B62" s="9" t="s">
        <v>60</v>
      </c>
      <c r="D62" s="30" t="s">
        <v>61</v>
      </c>
      <c r="E62" s="30"/>
      <c r="F62" s="30"/>
      <c r="G62" s="30"/>
      <c r="H62" s="30"/>
      <c r="I62" s="30"/>
    </row>
    <row r="63" customFormat="false" ht="15" hidden="false" customHeight="true" outlineLevel="0" collapsed="false">
      <c r="B63" s="9" t="s">
        <v>62</v>
      </c>
      <c r="D63" s="30" t="s">
        <v>63</v>
      </c>
      <c r="E63" s="30"/>
      <c r="F63" s="30"/>
      <c r="G63" s="30"/>
      <c r="H63" s="30"/>
      <c r="I63" s="30"/>
    </row>
    <row r="64" customFormat="false" ht="15" hidden="false" customHeight="true" outlineLevel="0" collapsed="false">
      <c r="B64" s="9" t="s">
        <v>64</v>
      </c>
      <c r="D64" s="30" t="s">
        <v>65</v>
      </c>
      <c r="E64" s="30"/>
      <c r="F64" s="30"/>
      <c r="G64" s="30"/>
      <c r="H64" s="30"/>
      <c r="I64" s="30"/>
    </row>
    <row r="65" customFormat="false" ht="15" hidden="false" customHeight="true" outlineLevel="0" collapsed="false">
      <c r="B65" s="9" t="s">
        <v>66</v>
      </c>
      <c r="D65" s="30" t="s">
        <v>67</v>
      </c>
      <c r="E65" s="30"/>
      <c r="F65" s="30"/>
      <c r="G65" s="30"/>
      <c r="H65" s="30"/>
      <c r="I65" s="30"/>
    </row>
    <row r="67" customFormat="false" ht="19.5" hidden="false" customHeight="true" outlineLevel="0" collapsed="false">
      <c r="B67" s="4" t="s">
        <v>68</v>
      </c>
      <c r="C67" s="4"/>
      <c r="D67" s="4"/>
      <c r="E67" s="4"/>
      <c r="F67" s="4"/>
      <c r="G67" s="4"/>
      <c r="H67" s="4"/>
      <c r="I67" s="4"/>
    </row>
    <row r="68" customFormat="false" ht="15" hidden="false" customHeight="true" outlineLevel="0" collapsed="false">
      <c r="B68" s="31" t="s">
        <v>69</v>
      </c>
      <c r="C68" s="31"/>
      <c r="D68" s="31"/>
      <c r="E68" s="31"/>
      <c r="F68" s="31"/>
      <c r="G68" s="31"/>
      <c r="H68" s="31"/>
      <c r="I68" s="31"/>
    </row>
    <row r="69" customFormat="false" ht="15" hidden="false" customHeight="true" outlineLevel="0" collapsed="false">
      <c r="B69" s="31" t="s">
        <v>70</v>
      </c>
      <c r="C69" s="31"/>
      <c r="D69" s="31"/>
      <c r="E69" s="31"/>
      <c r="F69" s="31"/>
      <c r="G69" s="31"/>
      <c r="H69" s="31"/>
      <c r="I69" s="31"/>
    </row>
    <row r="70" customFormat="false" ht="15" hidden="false" customHeight="true" outlineLevel="0" collapsed="false">
      <c r="B70" s="31" t="s">
        <v>71</v>
      </c>
      <c r="C70" s="31"/>
      <c r="D70" s="31"/>
      <c r="E70" s="31"/>
      <c r="F70" s="31"/>
      <c r="G70" s="31"/>
      <c r="H70" s="31"/>
      <c r="I70" s="31"/>
    </row>
    <row r="71" customFormat="false" ht="15" hidden="false" customHeight="true" outlineLevel="0" collapsed="false">
      <c r="B71" s="31" t="s">
        <v>72</v>
      </c>
      <c r="C71" s="31"/>
      <c r="D71" s="31"/>
      <c r="E71" s="31"/>
      <c r="F71" s="31"/>
      <c r="G71" s="31"/>
      <c r="H71" s="31"/>
      <c r="I71" s="31"/>
    </row>
    <row r="72" customFormat="false" ht="15" hidden="false" customHeight="true" outlineLevel="0" collapsed="false">
      <c r="B72" s="31" t="s">
        <v>73</v>
      </c>
      <c r="C72" s="31"/>
      <c r="D72" s="31"/>
      <c r="E72" s="31"/>
      <c r="F72" s="31"/>
      <c r="G72" s="31"/>
      <c r="H72" s="31"/>
      <c r="I72" s="31"/>
    </row>
  </sheetData>
  <mergeCells count="30">
    <mergeCell ref="B5:I5"/>
    <mergeCell ref="B13:I13"/>
    <mergeCell ref="B20:I20"/>
    <mergeCell ref="B32:I32"/>
    <mergeCell ref="B41:I41"/>
    <mergeCell ref="B43:I43"/>
    <mergeCell ref="B44:I44"/>
    <mergeCell ref="B45:I45"/>
    <mergeCell ref="B46:I46"/>
    <mergeCell ref="B47:I47"/>
    <mergeCell ref="B50:I50"/>
    <mergeCell ref="B51:I51"/>
    <mergeCell ref="B52:I52"/>
    <mergeCell ref="B53:I53"/>
    <mergeCell ref="B54:I54"/>
    <mergeCell ref="B57:I57"/>
    <mergeCell ref="D58:I58"/>
    <mergeCell ref="D59:I59"/>
    <mergeCell ref="D60:I60"/>
    <mergeCell ref="D61:I61"/>
    <mergeCell ref="D62:I62"/>
    <mergeCell ref="D63:I63"/>
    <mergeCell ref="D64:I64"/>
    <mergeCell ref="D65:I65"/>
    <mergeCell ref="B67:I67"/>
    <mergeCell ref="B68:I68"/>
    <mergeCell ref="B69:I69"/>
    <mergeCell ref="B70:I70"/>
    <mergeCell ref="B71:I71"/>
    <mergeCell ref="B72:I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55"/>
    <col collapsed="false" customWidth="true" hidden="false" outlineLevel="0" max="3" min="3" style="1" width="3"/>
    <col collapsed="false" customWidth="true" hidden="false" outlineLevel="0" max="7" min="4" style="1" width="13"/>
    <col collapsed="false" customWidth="true" hidden="false" outlineLevel="0" max="8" min="8" style="1" width="50"/>
  </cols>
  <sheetData>
    <row r="2" customFormat="false" ht="17.25" hidden="false" customHeight="true" outlineLevel="0" collapsed="false">
      <c r="B2" s="32" t="s">
        <v>74</v>
      </c>
    </row>
    <row r="3" customFormat="false" ht="15" hidden="false" customHeight="true" outlineLevel="0" collapsed="false">
      <c r="B3" s="33" t="s">
        <v>75</v>
      </c>
    </row>
    <row r="5" customFormat="false" ht="15" hidden="false" customHeight="true" outlineLevel="0" collapsed="false">
      <c r="D5" s="16" t="s">
        <v>13</v>
      </c>
      <c r="E5" s="16" t="s">
        <v>14</v>
      </c>
      <c r="F5" s="16" t="s">
        <v>15</v>
      </c>
      <c r="G5" s="16" t="s">
        <v>16</v>
      </c>
      <c r="H5" s="16" t="s">
        <v>76</v>
      </c>
    </row>
    <row r="6" customFormat="false" ht="19.5" hidden="false" customHeight="true" outlineLevel="0" collapsed="false">
      <c r="B6" s="4" t="s">
        <v>77</v>
      </c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B7" s="34" t="s">
        <v>78</v>
      </c>
    </row>
    <row r="8" customFormat="false" ht="15" hidden="false" customHeight="true" outlineLevel="0" collapsed="false">
      <c r="B8" s="35" t="s">
        <v>20</v>
      </c>
      <c r="D8" s="36" t="n">
        <v>12637.38</v>
      </c>
      <c r="E8" s="36" t="n">
        <v>13267.5</v>
      </c>
      <c r="F8" s="36" t="n">
        <v>12548.42</v>
      </c>
      <c r="G8" s="36" t="n">
        <v>11948.38</v>
      </c>
      <c r="H8" s="37" t="s">
        <v>79</v>
      </c>
    </row>
    <row r="9" customFormat="false" ht="15" hidden="false" customHeight="true" outlineLevel="0" collapsed="false">
      <c r="B9" s="35" t="s">
        <v>80</v>
      </c>
      <c r="D9" s="36" t="n">
        <v>206.71</v>
      </c>
      <c r="E9" s="36" t="n">
        <v>379.38</v>
      </c>
      <c r="F9" s="36" t="n">
        <v>474.35</v>
      </c>
      <c r="G9" s="36" t="n">
        <v>373.72</v>
      </c>
      <c r="H9" s="37" t="s">
        <v>81</v>
      </c>
    </row>
    <row r="10" customFormat="false" ht="15" hidden="false" customHeight="true" outlineLevel="0" collapsed="false">
      <c r="B10" s="7" t="s">
        <v>82</v>
      </c>
      <c r="D10" s="38" t="n">
        <f aca="false">SUM(D8:D9)</f>
        <v>12844.09</v>
      </c>
      <c r="E10" s="38" t="n">
        <f aca="false">SUM(E8:E9)</f>
        <v>13646.88</v>
      </c>
      <c r="F10" s="38" t="n">
        <f aca="false">SUM(F8:F9)</f>
        <v>13022.77</v>
      </c>
      <c r="G10" s="38" t="n">
        <f aca="false">SUM(G8:G9)</f>
        <v>12322.1</v>
      </c>
      <c r="H10" s="37" t="s">
        <v>83</v>
      </c>
    </row>
    <row r="12" customFormat="false" ht="15" hidden="false" customHeight="true" outlineLevel="0" collapsed="false">
      <c r="B12" s="34" t="s">
        <v>84</v>
      </c>
    </row>
    <row r="13" customFormat="false" ht="15" hidden="false" customHeight="true" outlineLevel="0" collapsed="false">
      <c r="B13" s="35" t="s">
        <v>85</v>
      </c>
      <c r="D13" s="36" t="n">
        <v>3851.71</v>
      </c>
      <c r="E13" s="36" t="n">
        <v>4012.48</v>
      </c>
      <c r="F13" s="36" t="n">
        <v>3290.14</v>
      </c>
      <c r="G13" s="36" t="n">
        <v>2845.17</v>
      </c>
      <c r="H13" s="37" t="s">
        <v>81</v>
      </c>
    </row>
    <row r="14" customFormat="false" ht="15" hidden="false" customHeight="true" outlineLevel="0" collapsed="false">
      <c r="B14" s="35" t="s">
        <v>86</v>
      </c>
      <c r="D14" s="36" t="n">
        <v>5200.65</v>
      </c>
      <c r="E14" s="36" t="n">
        <v>5293.97</v>
      </c>
      <c r="F14" s="36" t="n">
        <v>5246.06</v>
      </c>
      <c r="G14" s="36" t="n">
        <v>5046.17</v>
      </c>
      <c r="H14" s="37" t="s">
        <v>81</v>
      </c>
    </row>
    <row r="15" customFormat="false" ht="15" hidden="false" customHeight="true" outlineLevel="0" collapsed="false">
      <c r="B15" s="35" t="s">
        <v>87</v>
      </c>
      <c r="D15" s="36" t="n">
        <v>1298.23</v>
      </c>
      <c r="E15" s="36" t="n">
        <v>1383.42</v>
      </c>
      <c r="F15" s="36" t="n">
        <v>1435.11</v>
      </c>
      <c r="G15" s="36" t="n">
        <v>1451.72</v>
      </c>
      <c r="H15" s="37" t="s">
        <v>81</v>
      </c>
    </row>
    <row r="16" customFormat="false" ht="15" hidden="false" customHeight="true" outlineLevel="0" collapsed="false">
      <c r="B16" s="35" t="s">
        <v>88</v>
      </c>
      <c r="D16" s="36" t="n">
        <v>446.66</v>
      </c>
      <c r="E16" s="36" t="n">
        <v>577.26</v>
      </c>
      <c r="F16" s="36" t="n">
        <v>629.2</v>
      </c>
      <c r="G16" s="36" t="n">
        <v>673.61</v>
      </c>
      <c r="H16" s="37" t="s">
        <v>81</v>
      </c>
    </row>
    <row r="17" customFormat="false" ht="15" hidden="false" customHeight="true" outlineLevel="0" collapsed="false">
      <c r="B17" s="35" t="s">
        <v>89</v>
      </c>
      <c r="D17" s="36" t="n">
        <v>471.58</v>
      </c>
      <c r="E17" s="36" t="n">
        <v>494.53</v>
      </c>
      <c r="F17" s="36" t="n">
        <v>491.1</v>
      </c>
      <c r="G17" s="36" t="n">
        <v>453.92</v>
      </c>
      <c r="H17" s="37" t="s">
        <v>81</v>
      </c>
    </row>
    <row r="18" customFormat="false" ht="15" hidden="false" customHeight="true" outlineLevel="0" collapsed="false">
      <c r="B18" s="35" t="s">
        <v>90</v>
      </c>
      <c r="D18" s="36" t="n">
        <v>976.18</v>
      </c>
      <c r="E18" s="36" t="n">
        <v>1212.6</v>
      </c>
      <c r="F18" s="36" t="n">
        <v>1221.15</v>
      </c>
      <c r="G18" s="36" t="n">
        <v>1388.21</v>
      </c>
      <c r="H18" s="37" t="s">
        <v>81</v>
      </c>
    </row>
    <row r="19" customFormat="false" ht="15" hidden="false" customHeight="true" outlineLevel="0" collapsed="false">
      <c r="B19" s="7" t="s">
        <v>91</v>
      </c>
      <c r="D19" s="38" t="n">
        <f aca="false">SUM(D13:D18)</f>
        <v>12245.01</v>
      </c>
      <c r="E19" s="38" t="n">
        <f aca="false">SUM(E13:E18)</f>
        <v>12974.26</v>
      </c>
      <c r="F19" s="38" t="n">
        <f aca="false">SUM(F13:F18)</f>
        <v>12312.76</v>
      </c>
      <c r="G19" s="38" t="n">
        <f aca="false">SUM(G13:G18)</f>
        <v>11858.8</v>
      </c>
      <c r="H19" s="37" t="s">
        <v>83</v>
      </c>
    </row>
    <row r="21" customFormat="false" ht="15" hidden="false" customHeight="true" outlineLevel="0" collapsed="false">
      <c r="B21" s="7" t="s">
        <v>92</v>
      </c>
      <c r="D21" s="38" t="n">
        <f aca="false">D10-D19</f>
        <v>599.079999999998</v>
      </c>
      <c r="E21" s="38" t="n">
        <f aca="false">E10-E19</f>
        <v>672.619999999999</v>
      </c>
      <c r="F21" s="38" t="n">
        <f aca="false">F10-F19</f>
        <v>710.01</v>
      </c>
      <c r="G21" s="38" t="n">
        <f aca="false">G10-G19</f>
        <v>463.299999999997</v>
      </c>
      <c r="H21" s="37" t="s">
        <v>93</v>
      </c>
    </row>
    <row r="22" customFormat="false" ht="15" hidden="false" customHeight="true" outlineLevel="0" collapsed="false">
      <c r="B22" s="35" t="s">
        <v>94</v>
      </c>
      <c r="D22" s="36" t="n">
        <v>0</v>
      </c>
      <c r="E22" s="36" t="n">
        <v>0</v>
      </c>
      <c r="F22" s="36" t="n">
        <v>0</v>
      </c>
      <c r="G22" s="36" t="n">
        <v>76.51</v>
      </c>
      <c r="H22" s="37" t="s">
        <v>95</v>
      </c>
    </row>
    <row r="23" customFormat="false" ht="15" hidden="false" customHeight="true" outlineLevel="0" collapsed="false">
      <c r="B23" s="7" t="s">
        <v>96</v>
      </c>
      <c r="D23" s="38" t="n">
        <f aca="false">D21-D22</f>
        <v>599.079999999998</v>
      </c>
      <c r="E23" s="38" t="n">
        <f aca="false">E21-E22</f>
        <v>672.619999999999</v>
      </c>
      <c r="F23" s="38" t="n">
        <f aca="false">F21-F22</f>
        <v>710.01</v>
      </c>
      <c r="G23" s="38" t="n">
        <f aca="false">G21-G22</f>
        <v>386.789999999997</v>
      </c>
      <c r="H23" s="37" t="s">
        <v>97</v>
      </c>
    </row>
    <row r="25" customFormat="false" ht="15" hidden="false" customHeight="true" outlineLevel="0" collapsed="false">
      <c r="B25" s="34" t="s">
        <v>98</v>
      </c>
    </row>
    <row r="26" customFormat="false" ht="15" hidden="false" customHeight="true" outlineLevel="0" collapsed="false">
      <c r="B26" s="35" t="s">
        <v>99</v>
      </c>
      <c r="D26" s="36" t="n">
        <v>189.43</v>
      </c>
      <c r="E26" s="36" t="n">
        <v>200.24</v>
      </c>
      <c r="F26" s="36" t="n">
        <v>275.93</v>
      </c>
      <c r="G26" s="36" t="n">
        <v>198.71</v>
      </c>
      <c r="H26" s="37" t="s">
        <v>81</v>
      </c>
    </row>
    <row r="27" customFormat="false" ht="15" hidden="false" customHeight="true" outlineLevel="0" collapsed="false">
      <c r="B27" s="35" t="s">
        <v>100</v>
      </c>
      <c r="D27" s="36" t="n">
        <v>-29.79</v>
      </c>
      <c r="E27" s="36" t="n">
        <v>7.24</v>
      </c>
      <c r="F27" s="36" t="n">
        <v>-36.78</v>
      </c>
      <c r="G27" s="36" t="n">
        <v>-64.86</v>
      </c>
      <c r="H27" s="37" t="s">
        <v>101</v>
      </c>
    </row>
    <row r="28" customFormat="false" ht="15" hidden="false" customHeight="true" outlineLevel="0" collapsed="false">
      <c r="B28" s="35" t="s">
        <v>102</v>
      </c>
      <c r="D28" s="36" t="n">
        <v>28.58</v>
      </c>
      <c r="E28" s="36" t="n">
        <v>15.38</v>
      </c>
      <c r="F28" s="36" t="n">
        <v>-15.93</v>
      </c>
      <c r="G28" s="36" t="n">
        <v>2.2</v>
      </c>
      <c r="H28" s="37" t="s">
        <v>81</v>
      </c>
    </row>
    <row r="29" customFormat="false" ht="15" hidden="false" customHeight="true" outlineLevel="0" collapsed="false">
      <c r="B29" s="7" t="s">
        <v>103</v>
      </c>
      <c r="D29" s="38" t="n">
        <f aca="false">SUM(D26:D28)</f>
        <v>188.22</v>
      </c>
      <c r="E29" s="38" t="n">
        <f aca="false">SUM(E26:E28)</f>
        <v>222.86</v>
      </c>
      <c r="F29" s="38" t="n">
        <f aca="false">SUM(F26:F28)</f>
        <v>223.22</v>
      </c>
      <c r="G29" s="38" t="n">
        <f aca="false">SUM(G26:G28)</f>
        <v>136.05</v>
      </c>
      <c r="H29" s="37" t="s">
        <v>104</v>
      </c>
    </row>
    <row r="31" customFormat="false" ht="15" hidden="false" customHeight="true" outlineLevel="0" collapsed="false">
      <c r="B31" s="7" t="s">
        <v>105</v>
      </c>
      <c r="D31" s="38" t="n">
        <f aca="false">D23-D29</f>
        <v>410.859999999998</v>
      </c>
      <c r="E31" s="38" t="n">
        <f aca="false">E23-E29</f>
        <v>449.759999999999</v>
      </c>
      <c r="F31" s="38" t="n">
        <f aca="false">F23-F29</f>
        <v>486.79</v>
      </c>
      <c r="G31" s="38" t="n">
        <f aca="false">G23-G29</f>
        <v>250.739999999997</v>
      </c>
      <c r="H31" s="37" t="s">
        <v>106</v>
      </c>
    </row>
    <row r="33" customFormat="false" ht="15" hidden="false" customHeight="true" outlineLevel="0" collapsed="false">
      <c r="B33" s="34" t="s">
        <v>107</v>
      </c>
    </row>
    <row r="34" customFormat="false" ht="15" hidden="false" customHeight="true" outlineLevel="0" collapsed="false">
      <c r="B34" s="34" t="s">
        <v>108</v>
      </c>
    </row>
    <row r="35" customFormat="false" ht="15" hidden="false" customHeight="true" outlineLevel="0" collapsed="false">
      <c r="B35" s="35" t="s">
        <v>109</v>
      </c>
      <c r="D35" s="36" t="n">
        <v>-0.4</v>
      </c>
      <c r="E35" s="36" t="n">
        <v>0.26</v>
      </c>
      <c r="F35" s="36" t="n">
        <v>0.01</v>
      </c>
      <c r="G35" s="36" t="n">
        <v>-0.23</v>
      </c>
      <c r="H35" s="37" t="s">
        <v>81</v>
      </c>
    </row>
    <row r="36" customFormat="false" ht="15" hidden="false" customHeight="true" outlineLevel="0" collapsed="false">
      <c r="B36" s="35" t="s">
        <v>110</v>
      </c>
      <c r="D36" s="36" t="n">
        <v>-2.1</v>
      </c>
      <c r="E36" s="36" t="n">
        <v>-8.51</v>
      </c>
      <c r="F36" s="36" t="n">
        <v>-5.74</v>
      </c>
      <c r="G36" s="36" t="n">
        <v>15.94</v>
      </c>
      <c r="H36" s="37" t="s">
        <v>81</v>
      </c>
    </row>
    <row r="37" customFormat="false" ht="15" hidden="false" customHeight="true" outlineLevel="0" collapsed="false">
      <c r="B37" s="34" t="s">
        <v>111</v>
      </c>
    </row>
    <row r="38" customFormat="false" ht="15" hidden="false" customHeight="true" outlineLevel="0" collapsed="false">
      <c r="B38" s="35" t="s">
        <v>112</v>
      </c>
      <c r="D38" s="36" t="n">
        <v>66.16</v>
      </c>
      <c r="E38" s="36" t="n">
        <v>7.59</v>
      </c>
      <c r="F38" s="36" t="n">
        <v>-4.02</v>
      </c>
      <c r="G38" s="36" t="n">
        <v>-7.38</v>
      </c>
      <c r="H38" s="37" t="s">
        <v>81</v>
      </c>
    </row>
    <row r="39" customFormat="false" ht="15" hidden="false" customHeight="true" outlineLevel="0" collapsed="false">
      <c r="B39" s="7" t="s">
        <v>113</v>
      </c>
      <c r="D39" s="38" t="n">
        <f aca="false">SUM(D35:D38)</f>
        <v>63.66</v>
      </c>
      <c r="E39" s="38" t="n">
        <f aca="false">SUM(E35:E38)</f>
        <v>-0.66</v>
      </c>
      <c r="F39" s="38" t="n">
        <f aca="false">SUM(F35:F38)</f>
        <v>-9.75</v>
      </c>
      <c r="G39" s="38" t="n">
        <f aca="false">SUM(G35:G38)</f>
        <v>8.33</v>
      </c>
      <c r="H39" s="37" t="s">
        <v>83</v>
      </c>
    </row>
    <row r="41" customFormat="false" ht="15" hidden="false" customHeight="true" outlineLevel="0" collapsed="false">
      <c r="B41" s="7" t="s">
        <v>114</v>
      </c>
      <c r="D41" s="38" t="n">
        <f aca="false">D31+D39</f>
        <v>474.519999999998</v>
      </c>
      <c r="E41" s="38" t="n">
        <f aca="false">E31+E39</f>
        <v>449.099999999999</v>
      </c>
      <c r="F41" s="38" t="n">
        <f aca="false">F31+F39</f>
        <v>477.04</v>
      </c>
      <c r="G41" s="38" t="n">
        <f aca="false">G31+G39</f>
        <v>259.069999999997</v>
      </c>
      <c r="H41" s="37" t="s">
        <v>115</v>
      </c>
    </row>
    <row r="43" customFormat="false" ht="15" hidden="false" customHeight="true" outlineLevel="0" collapsed="false">
      <c r="B43" s="34" t="s">
        <v>116</v>
      </c>
    </row>
    <row r="44" customFormat="false" ht="15" hidden="false" customHeight="true" outlineLevel="0" collapsed="false">
      <c r="B44" s="35" t="s">
        <v>117</v>
      </c>
      <c r="D44" s="36" t="n">
        <v>410.87</v>
      </c>
      <c r="E44" s="36" t="n">
        <v>449.76</v>
      </c>
      <c r="F44" s="36" t="n">
        <v>486.81</v>
      </c>
      <c r="G44" s="36" t="n">
        <v>251.5</v>
      </c>
      <c r="H44" s="37" t="s">
        <v>81</v>
      </c>
    </row>
    <row r="45" customFormat="false" ht="15" hidden="false" customHeight="true" outlineLevel="0" collapsed="false">
      <c r="B45" s="35" t="s">
        <v>118</v>
      </c>
      <c r="D45" s="36" t="n">
        <v>-0.01</v>
      </c>
      <c r="E45" s="36" t="n">
        <v>0</v>
      </c>
      <c r="F45" s="36" t="n">
        <v>-0.02</v>
      </c>
      <c r="G45" s="36" t="n">
        <v>-0.76</v>
      </c>
      <c r="H45" s="37" t="s">
        <v>81</v>
      </c>
    </row>
    <row r="47" customFormat="false" ht="15" hidden="false" customHeight="true" outlineLevel="0" collapsed="false">
      <c r="B47" s="35" t="s">
        <v>119</v>
      </c>
      <c r="D47" s="36" t="n">
        <v>71.97</v>
      </c>
      <c r="E47" s="36" t="n">
        <v>340.74</v>
      </c>
      <c r="F47" s="36" t="n">
        <v>367.78</v>
      </c>
      <c r="G47" s="36" t="n">
        <v>367.78</v>
      </c>
      <c r="H47" s="37" t="s">
        <v>120</v>
      </c>
    </row>
    <row r="48" customFormat="false" ht="15" hidden="false" customHeight="true" outlineLevel="0" collapsed="false">
      <c r="B48" s="35" t="s">
        <v>121</v>
      </c>
      <c r="D48" s="36" t="n">
        <v>2653.72</v>
      </c>
      <c r="E48" s="36" t="n">
        <v>3255.21</v>
      </c>
      <c r="F48" s="36" t="n">
        <v>4892.74</v>
      </c>
      <c r="G48" s="36" t="n">
        <v>5082.02</v>
      </c>
      <c r="H48" s="37" t="s">
        <v>81</v>
      </c>
    </row>
    <row r="50" customFormat="false" ht="15" hidden="false" customHeight="true" outlineLevel="0" collapsed="false">
      <c r="B50" s="34" t="s">
        <v>122</v>
      </c>
    </row>
    <row r="51" customFormat="false" ht="15" hidden="false" customHeight="true" outlineLevel="0" collapsed="false">
      <c r="B51" s="35" t="s">
        <v>123</v>
      </c>
      <c r="D51" s="39" t="n">
        <v>12.06</v>
      </c>
      <c r="E51" s="39" t="n">
        <v>13.2</v>
      </c>
      <c r="F51" s="39" t="n">
        <v>13.24</v>
      </c>
      <c r="G51" s="39" t="n">
        <v>6.82</v>
      </c>
      <c r="H51" s="37" t="s">
        <v>81</v>
      </c>
    </row>
    <row r="52" customFormat="false" ht="15" hidden="false" customHeight="true" outlineLevel="0" collapsed="false">
      <c r="B52" s="35" t="s">
        <v>124</v>
      </c>
      <c r="D52" s="39" t="n">
        <v>12.06</v>
      </c>
      <c r="E52" s="39" t="n">
        <v>13.2</v>
      </c>
      <c r="F52" s="39" t="n">
        <v>13.24</v>
      </c>
      <c r="G52" s="39" t="n">
        <v>6.82</v>
      </c>
      <c r="H52" s="37" t="s">
        <v>81</v>
      </c>
    </row>
    <row r="54" customFormat="false" ht="15" hidden="false" customHeight="true" outlineLevel="0" collapsed="false">
      <c r="B54" s="40" t="s">
        <v>125</v>
      </c>
      <c r="C54" s="41"/>
      <c r="D54" s="41"/>
      <c r="E54" s="41"/>
      <c r="F54" s="41"/>
      <c r="G54" s="41"/>
      <c r="H54" s="41"/>
    </row>
    <row r="55" customFormat="false" ht="15" hidden="false" customHeight="true" outlineLevel="0" collapsed="false">
      <c r="B55" s="17" t="s">
        <v>126</v>
      </c>
      <c r="D55" s="42" t="n">
        <v>410.86</v>
      </c>
      <c r="E55" s="42" t="n">
        <v>449.76</v>
      </c>
      <c r="F55" s="42" t="n">
        <v>486.79</v>
      </c>
      <c r="G55" s="42" t="n">
        <v>250.74</v>
      </c>
    </row>
    <row r="56" customFormat="false" ht="15" hidden="false" customHeight="true" outlineLevel="0" collapsed="false">
      <c r="B56" s="43" t="s">
        <v>127</v>
      </c>
      <c r="D56" s="44" t="n">
        <f aca="false">D31</f>
        <v>410.859999999998</v>
      </c>
      <c r="E56" s="44" t="n">
        <f aca="false">E31</f>
        <v>449.759999999999</v>
      </c>
      <c r="F56" s="44" t="n">
        <f aca="false">F31</f>
        <v>486.79</v>
      </c>
      <c r="G56" s="44" t="n">
        <f aca="false">G31</f>
        <v>250.739999999997</v>
      </c>
    </row>
    <row r="57" customFormat="false" ht="15" hidden="false" customHeight="true" outlineLevel="0" collapsed="false">
      <c r="B57" s="43" t="s">
        <v>128</v>
      </c>
      <c r="D57" s="45" t="n">
        <f aca="false">D56-D55</f>
        <v>-1.93267624126747E-012</v>
      </c>
      <c r="E57" s="45" t="n">
        <f aca="false">E56-E55</f>
        <v>0</v>
      </c>
      <c r="F57" s="45" t="n">
        <f aca="false">F56-F55</f>
        <v>0</v>
      </c>
      <c r="G57" s="45" t="n">
        <f aca="false">G56-G55</f>
        <v>-2.55795384873636E-012</v>
      </c>
      <c r="H57" s="46" t="s">
        <v>129</v>
      </c>
    </row>
    <row r="60" customFormat="false" ht="19.5" hidden="false" customHeight="true" outlineLevel="0" collapsed="false">
      <c r="B60" s="4" t="s">
        <v>130</v>
      </c>
      <c r="C60" s="4"/>
      <c r="D60" s="4"/>
      <c r="E60" s="4"/>
      <c r="F60" s="4"/>
      <c r="G60" s="4"/>
      <c r="H60" s="4"/>
    </row>
    <row r="61" customFormat="false" ht="15" hidden="false" customHeight="true" outlineLevel="0" collapsed="false">
      <c r="D61" s="16" t="s">
        <v>13</v>
      </c>
      <c r="E61" s="16" t="s">
        <v>14</v>
      </c>
      <c r="F61" s="16" t="s">
        <v>15</v>
      </c>
      <c r="G61" s="16" t="s">
        <v>16</v>
      </c>
      <c r="H61" s="16" t="s">
        <v>131</v>
      </c>
    </row>
    <row r="62" customFormat="false" ht="15" hidden="false" customHeight="true" outlineLevel="0" collapsed="false">
      <c r="B62" s="34" t="s">
        <v>132</v>
      </c>
    </row>
    <row r="63" customFormat="false" ht="15" hidden="false" customHeight="true" outlineLevel="0" collapsed="false">
      <c r="B63" s="34" t="s">
        <v>133</v>
      </c>
    </row>
    <row r="64" customFormat="false" ht="15" hidden="false" customHeight="true" outlineLevel="0" collapsed="false">
      <c r="B64" s="35" t="s">
        <v>134</v>
      </c>
      <c r="D64" s="36" t="n">
        <v>2448.75</v>
      </c>
      <c r="E64" s="36" t="n">
        <v>2715.14</v>
      </c>
      <c r="F64" s="36" t="n">
        <v>2630.86</v>
      </c>
      <c r="G64" s="36" t="n">
        <v>2410.37</v>
      </c>
    </row>
    <row r="65" customFormat="false" ht="15" hidden="false" customHeight="true" outlineLevel="0" collapsed="false">
      <c r="B65" s="35" t="s">
        <v>135</v>
      </c>
      <c r="D65" s="36" t="n">
        <v>183.6</v>
      </c>
      <c r="E65" s="36" t="n">
        <v>43.07</v>
      </c>
      <c r="F65" s="36" t="n">
        <v>32.85</v>
      </c>
      <c r="G65" s="36" t="n">
        <v>901.01</v>
      </c>
      <c r="H65" s="37" t="s">
        <v>136</v>
      </c>
    </row>
    <row r="66" customFormat="false" ht="15" hidden="false" customHeight="true" outlineLevel="0" collapsed="false">
      <c r="B66" s="35" t="s">
        <v>137</v>
      </c>
      <c r="D66" s="36" t="n">
        <v>48.72</v>
      </c>
      <c r="E66" s="36" t="n">
        <v>67.91</v>
      </c>
      <c r="F66" s="36" t="n">
        <v>106.43</v>
      </c>
      <c r="G66" s="36" t="n">
        <v>87.96</v>
      </c>
    </row>
    <row r="67" customFormat="false" ht="15" hidden="false" customHeight="true" outlineLevel="0" collapsed="false">
      <c r="B67" s="35" t="s">
        <v>138</v>
      </c>
      <c r="D67" s="36" t="n">
        <v>0.14</v>
      </c>
      <c r="E67" s="36" t="n">
        <v>0.14</v>
      </c>
      <c r="F67" s="36" t="n">
        <v>0.14</v>
      </c>
      <c r="G67" s="36" t="n">
        <v>0.14</v>
      </c>
    </row>
    <row r="68" customFormat="false" ht="15" hidden="false" customHeight="true" outlineLevel="0" collapsed="false">
      <c r="B68" s="35" t="s">
        <v>139</v>
      </c>
      <c r="D68" s="36" t="n">
        <v>0.61</v>
      </c>
      <c r="E68" s="36" t="n">
        <v>0.6</v>
      </c>
      <c r="F68" s="36" t="n">
        <v>0.55</v>
      </c>
      <c r="G68" s="36" t="n">
        <v>0.5</v>
      </c>
    </row>
    <row r="69" customFormat="false" ht="15" hidden="false" customHeight="true" outlineLevel="0" collapsed="false">
      <c r="B69" s="47" t="s">
        <v>140</v>
      </c>
    </row>
    <row r="70" customFormat="false" ht="15" hidden="false" customHeight="true" outlineLevel="0" collapsed="false">
      <c r="B70" s="48" t="s">
        <v>141</v>
      </c>
      <c r="D70" s="36" t="n">
        <v>0.5</v>
      </c>
      <c r="E70" s="36" t="n">
        <v>0.77</v>
      </c>
      <c r="F70" s="36" t="n">
        <v>0.78</v>
      </c>
      <c r="G70" s="36" t="n">
        <v>0.54</v>
      </c>
    </row>
    <row r="71" customFormat="false" ht="15" hidden="false" customHeight="true" outlineLevel="0" collapsed="false">
      <c r="B71" s="48" t="s">
        <v>142</v>
      </c>
      <c r="D71" s="36" t="n">
        <v>651.22</v>
      </c>
      <c r="E71" s="36" t="n">
        <v>499.2</v>
      </c>
      <c r="F71" s="36" t="n">
        <v>678.91</v>
      </c>
      <c r="G71" s="36" t="n">
        <v>606.57</v>
      </c>
    </row>
    <row r="72" customFormat="false" ht="15" hidden="false" customHeight="true" outlineLevel="0" collapsed="false">
      <c r="B72" s="48" t="s">
        <v>143</v>
      </c>
      <c r="D72" s="36" t="n">
        <v>365.92</v>
      </c>
      <c r="E72" s="36" t="n">
        <v>417.99</v>
      </c>
      <c r="F72" s="36" t="n">
        <v>441.93</v>
      </c>
      <c r="G72" s="36" t="n">
        <v>429.2</v>
      </c>
    </row>
    <row r="73" customFormat="false" ht="15" hidden="false" customHeight="true" outlineLevel="0" collapsed="false">
      <c r="B73" s="35" t="s">
        <v>144</v>
      </c>
      <c r="D73" s="36" t="n">
        <v>1416.49</v>
      </c>
      <c r="E73" s="36" t="n">
        <v>1271.01</v>
      </c>
      <c r="F73" s="36" t="n">
        <v>1646.58</v>
      </c>
      <c r="G73" s="36" t="n">
        <v>1497.04</v>
      </c>
    </row>
    <row r="74" customFormat="false" ht="15" hidden="false" customHeight="true" outlineLevel="0" collapsed="false">
      <c r="B74" s="35" t="s">
        <v>145</v>
      </c>
      <c r="D74" s="36" t="n">
        <v>28.8</v>
      </c>
      <c r="E74" s="36" t="n">
        <v>53.64</v>
      </c>
      <c r="F74" s="36" t="n">
        <v>12.22</v>
      </c>
      <c r="G74" s="36" t="n">
        <v>62.33</v>
      </c>
    </row>
    <row r="75" customFormat="false" ht="15" hidden="false" customHeight="true" outlineLevel="0" collapsed="false">
      <c r="B75" s="48" t="s">
        <v>146</v>
      </c>
      <c r="D75" s="36" t="n">
        <v>181.54</v>
      </c>
      <c r="E75" s="36" t="n">
        <v>190.88</v>
      </c>
      <c r="F75" s="36" t="n">
        <v>212</v>
      </c>
      <c r="G75" s="36" t="n">
        <v>181.25</v>
      </c>
    </row>
    <row r="76" customFormat="false" ht="15" hidden="false" customHeight="true" outlineLevel="0" collapsed="false">
      <c r="B76" s="7" t="s">
        <v>147</v>
      </c>
      <c r="D76" s="38" t="n">
        <f aca="false">SUM(D64:D75)</f>
        <v>5326.29</v>
      </c>
      <c r="E76" s="38" t="n">
        <f aca="false">SUM(E64:E75)</f>
        <v>5260.35</v>
      </c>
      <c r="F76" s="38" t="n">
        <f aca="false">SUM(F64:F75)</f>
        <v>5763.25</v>
      </c>
      <c r="G76" s="38" t="n">
        <f aca="false">SUM(G64:G75)</f>
        <v>6176.91</v>
      </c>
      <c r="H76" s="37" t="s">
        <v>83</v>
      </c>
    </row>
    <row r="78" customFormat="false" ht="15" hidden="false" customHeight="true" outlineLevel="0" collapsed="false">
      <c r="B78" s="34" t="s">
        <v>148</v>
      </c>
    </row>
    <row r="79" customFormat="false" ht="15" hidden="false" customHeight="true" outlineLevel="0" collapsed="false">
      <c r="B79" s="35" t="s">
        <v>149</v>
      </c>
      <c r="D79" s="36" t="n">
        <v>1585.79</v>
      </c>
      <c r="E79" s="36" t="n">
        <v>1626.56</v>
      </c>
      <c r="F79" s="36" t="n">
        <v>1010.22</v>
      </c>
      <c r="G79" s="36" t="n">
        <v>1016.57</v>
      </c>
    </row>
    <row r="80" customFormat="false" ht="15" hidden="false" customHeight="true" outlineLevel="0" collapsed="false">
      <c r="B80" s="47" t="s">
        <v>150</v>
      </c>
    </row>
    <row r="81" customFormat="false" ht="15" hidden="false" customHeight="true" outlineLevel="0" collapsed="false">
      <c r="B81" s="48" t="s">
        <v>151</v>
      </c>
      <c r="D81" s="36" t="n">
        <v>2196.63</v>
      </c>
      <c r="E81" s="36" t="n">
        <v>3120.99</v>
      </c>
      <c r="F81" s="36" t="n">
        <v>2779.32</v>
      </c>
      <c r="G81" s="36" t="n">
        <v>3431.52</v>
      </c>
    </row>
    <row r="82" customFormat="false" ht="15" hidden="false" customHeight="true" outlineLevel="0" collapsed="false">
      <c r="B82" s="48" t="s">
        <v>152</v>
      </c>
      <c r="D82" s="36" t="n">
        <v>319.32</v>
      </c>
      <c r="E82" s="36" t="n">
        <v>413.26</v>
      </c>
      <c r="F82" s="36" t="n">
        <v>440.17</v>
      </c>
      <c r="G82" s="36" t="n">
        <v>385.7</v>
      </c>
    </row>
    <row r="83" customFormat="false" ht="15" hidden="false" customHeight="true" outlineLevel="0" collapsed="false">
      <c r="B83" s="48" t="s">
        <v>153</v>
      </c>
      <c r="D83" s="36" t="n">
        <v>58.12</v>
      </c>
      <c r="E83" s="36" t="n">
        <v>253</v>
      </c>
      <c r="F83" s="36" t="n">
        <v>330.39</v>
      </c>
      <c r="G83" s="36" t="n">
        <v>500.19</v>
      </c>
    </row>
    <row r="84" customFormat="false" ht="15" hidden="false" customHeight="true" outlineLevel="0" collapsed="false">
      <c r="B84" s="48" t="s">
        <v>154</v>
      </c>
      <c r="D84" s="36" t="n">
        <v>53.35</v>
      </c>
      <c r="E84" s="36" t="n">
        <v>61.83</v>
      </c>
      <c r="F84" s="36" t="n">
        <v>57.18</v>
      </c>
      <c r="G84" s="36" t="n">
        <v>67.93</v>
      </c>
    </row>
    <row r="85" customFormat="false" ht="15" hidden="false" customHeight="true" outlineLevel="0" collapsed="false">
      <c r="B85" s="48" t="s">
        <v>155</v>
      </c>
      <c r="D85" s="36" t="n">
        <v>398.31</v>
      </c>
      <c r="E85" s="36" t="n">
        <v>501.34</v>
      </c>
      <c r="F85" s="36" t="n">
        <v>209.3</v>
      </c>
      <c r="G85" s="36" t="n">
        <v>209.54</v>
      </c>
    </row>
    <row r="86" customFormat="false" ht="15" hidden="false" customHeight="true" outlineLevel="0" collapsed="false">
      <c r="B86" s="35" t="s">
        <v>156</v>
      </c>
      <c r="D86" s="36" t="n">
        <v>3272.51</v>
      </c>
      <c r="E86" s="36" t="n">
        <v>3954.39</v>
      </c>
      <c r="F86" s="36" t="n">
        <v>5449.18</v>
      </c>
      <c r="G86" s="36" t="n">
        <v>6234.46</v>
      </c>
    </row>
    <row r="87" customFormat="false" ht="15" hidden="false" customHeight="true" outlineLevel="0" collapsed="false">
      <c r="B87" s="35" t="s">
        <v>157</v>
      </c>
      <c r="D87" s="36" t="n">
        <v>1090.92</v>
      </c>
      <c r="E87" s="36" t="n">
        <v>1041.92</v>
      </c>
      <c r="F87" s="36" t="n">
        <v>1080.21</v>
      </c>
      <c r="G87" s="36" t="n">
        <v>1108.06</v>
      </c>
    </row>
    <row r="88" customFormat="false" ht="15" hidden="false" customHeight="true" outlineLevel="0" collapsed="false">
      <c r="B88" s="7" t="s">
        <v>158</v>
      </c>
      <c r="D88" s="38" t="n">
        <f aca="false">SUM(D79:D87)</f>
        <v>8974.95</v>
      </c>
      <c r="E88" s="38" t="n">
        <f aca="false">SUM(E79:E87)</f>
        <v>10973.29</v>
      </c>
      <c r="F88" s="38" t="n">
        <f aca="false">SUM(F79:F87)</f>
        <v>11355.97</v>
      </c>
      <c r="G88" s="38" t="n">
        <f aca="false">SUM(G79:G87)</f>
        <v>12953.97</v>
      </c>
      <c r="H88" s="37" t="s">
        <v>83</v>
      </c>
    </row>
    <row r="90" customFormat="false" ht="15" hidden="false" customHeight="true" outlineLevel="0" collapsed="false">
      <c r="B90" s="49" t="s">
        <v>159</v>
      </c>
      <c r="D90" s="50" t="n">
        <f aca="false">D76+D88</f>
        <v>14301.24</v>
      </c>
      <c r="E90" s="50" t="n">
        <f aca="false">E76+E88</f>
        <v>16233.64</v>
      </c>
      <c r="F90" s="50" t="n">
        <f aca="false">F76+F88</f>
        <v>17119.22</v>
      </c>
      <c r="G90" s="50" t="n">
        <f aca="false">G76+G88</f>
        <v>19130.88</v>
      </c>
      <c r="H90" s="37" t="s">
        <v>160</v>
      </c>
    </row>
    <row r="92" customFormat="false" ht="15" hidden="false" customHeight="true" outlineLevel="0" collapsed="false">
      <c r="B92" s="34" t="s">
        <v>161</v>
      </c>
    </row>
    <row r="93" customFormat="false" ht="15" hidden="false" customHeight="true" outlineLevel="0" collapsed="false">
      <c r="B93" s="34" t="s">
        <v>162</v>
      </c>
    </row>
    <row r="94" customFormat="false" ht="15" hidden="false" customHeight="true" outlineLevel="0" collapsed="false">
      <c r="B94" s="35" t="s">
        <v>163</v>
      </c>
      <c r="D94" s="36" t="n">
        <v>71.97</v>
      </c>
      <c r="E94" s="36" t="n">
        <v>340.74</v>
      </c>
      <c r="F94" s="36" t="n">
        <v>367.78</v>
      </c>
      <c r="G94" s="36" t="n">
        <v>367.78</v>
      </c>
    </row>
    <row r="95" customFormat="false" ht="15" hidden="false" customHeight="true" outlineLevel="0" collapsed="false">
      <c r="B95" s="35" t="s">
        <v>164</v>
      </c>
      <c r="D95" s="36" t="n">
        <v>450</v>
      </c>
      <c r="E95" s="36" t="n">
        <v>0</v>
      </c>
      <c r="F95" s="36" t="n">
        <v>0</v>
      </c>
      <c r="G95" s="36" t="n">
        <v>0</v>
      </c>
      <c r="H95" s="37" t="s">
        <v>165</v>
      </c>
    </row>
    <row r="96" customFormat="false" ht="15" hidden="false" customHeight="true" outlineLevel="0" collapsed="false">
      <c r="B96" s="35" t="s">
        <v>166</v>
      </c>
      <c r="D96" s="36" t="n">
        <v>2653.72</v>
      </c>
      <c r="E96" s="36" t="n">
        <v>3255.21</v>
      </c>
      <c r="F96" s="36" t="n">
        <v>4892.74</v>
      </c>
      <c r="G96" s="36" t="n">
        <v>5082.02</v>
      </c>
    </row>
    <row r="97" customFormat="false" ht="15" hidden="false" customHeight="true" outlineLevel="0" collapsed="false">
      <c r="B97" s="7" t="s">
        <v>167</v>
      </c>
      <c r="D97" s="38" t="n">
        <f aca="false">SUM(D94:D96)</f>
        <v>3175.69</v>
      </c>
      <c r="E97" s="38" t="n">
        <f aca="false">SUM(E94:E96)</f>
        <v>3595.95</v>
      </c>
      <c r="F97" s="38" t="n">
        <f aca="false">SUM(F94:F96)</f>
        <v>5260.52</v>
      </c>
      <c r="G97" s="38" t="n">
        <f aca="false">SUM(G94:G96)</f>
        <v>5449.8</v>
      </c>
      <c r="H97" s="37" t="s">
        <v>83</v>
      </c>
    </row>
    <row r="98" customFormat="false" ht="15" hidden="false" customHeight="true" outlineLevel="0" collapsed="false">
      <c r="B98" s="35" t="s">
        <v>168</v>
      </c>
      <c r="D98" s="36" t="n">
        <v>1.56</v>
      </c>
      <c r="E98" s="36" t="n">
        <v>1.56</v>
      </c>
      <c r="F98" s="36" t="n">
        <v>1.54</v>
      </c>
      <c r="G98" s="36" t="n">
        <v>0.78</v>
      </c>
    </row>
    <row r="99" customFormat="false" ht="15" hidden="false" customHeight="true" outlineLevel="0" collapsed="false">
      <c r="B99" s="7" t="s">
        <v>169</v>
      </c>
      <c r="D99" s="38" t="n">
        <f aca="false">D97+D98</f>
        <v>3177.25</v>
      </c>
      <c r="E99" s="38" t="n">
        <f aca="false">E97+E98</f>
        <v>3597.51</v>
      </c>
      <c r="F99" s="38" t="n">
        <f aca="false">F97+F98</f>
        <v>5262.06</v>
      </c>
      <c r="G99" s="38" t="n">
        <f aca="false">G97+G98</f>
        <v>5450.58</v>
      </c>
      <c r="H99" s="37" t="s">
        <v>170</v>
      </c>
    </row>
    <row r="101" customFormat="false" ht="15" hidden="false" customHeight="true" outlineLevel="0" collapsed="false">
      <c r="B101" s="34" t="s">
        <v>171</v>
      </c>
    </row>
    <row r="102" customFormat="false" ht="15" hidden="false" customHeight="true" outlineLevel="0" collapsed="false">
      <c r="B102" s="47" t="s">
        <v>172</v>
      </c>
    </row>
    <row r="103" customFormat="false" ht="15" hidden="false" customHeight="true" outlineLevel="0" collapsed="false">
      <c r="B103" s="47" t="s">
        <v>173</v>
      </c>
    </row>
    <row r="104" customFormat="false" ht="15" hidden="false" customHeight="true" outlineLevel="0" collapsed="false">
      <c r="B104" s="48" t="s">
        <v>174</v>
      </c>
      <c r="D104" s="36" t="n">
        <v>596.48</v>
      </c>
      <c r="E104" s="36" t="n">
        <v>597.69</v>
      </c>
      <c r="F104" s="36" t="n">
        <v>595.24</v>
      </c>
      <c r="G104" s="36" t="n">
        <v>919.6</v>
      </c>
    </row>
    <row r="105" customFormat="false" ht="15" hidden="false" customHeight="true" outlineLevel="0" collapsed="false">
      <c r="B105" s="48" t="s">
        <v>175</v>
      </c>
      <c r="D105" s="36" t="n">
        <v>15.68</v>
      </c>
      <c r="E105" s="36" t="n">
        <v>35.15</v>
      </c>
      <c r="F105" s="36" t="n">
        <v>58.28</v>
      </c>
      <c r="G105" s="36" t="n">
        <v>49.53</v>
      </c>
    </row>
    <row r="106" customFormat="false" ht="15" hidden="false" customHeight="true" outlineLevel="0" collapsed="false">
      <c r="B106" s="47" t="s">
        <v>176</v>
      </c>
    </row>
    <row r="107" customFormat="false" ht="15" hidden="false" customHeight="true" outlineLevel="0" collapsed="false">
      <c r="B107" s="48" t="s">
        <v>177</v>
      </c>
      <c r="D107" s="36" t="n">
        <v>51.95</v>
      </c>
      <c r="E107" s="36" t="n">
        <v>23.21</v>
      </c>
      <c r="F107" s="36" t="n">
        <v>14.58</v>
      </c>
      <c r="G107" s="36" t="n">
        <v>17.27</v>
      </c>
    </row>
    <row r="108" customFormat="false" ht="15" hidden="false" customHeight="true" outlineLevel="0" collapsed="false">
      <c r="B108" s="48" t="s">
        <v>178</v>
      </c>
      <c r="D108" s="36" t="n">
        <v>420.89</v>
      </c>
      <c r="E108" s="36" t="n">
        <v>407.79</v>
      </c>
      <c r="F108" s="36" t="n">
        <v>419.2</v>
      </c>
      <c r="G108" s="36" t="n">
        <v>410.64</v>
      </c>
    </row>
    <row r="109" customFormat="false" ht="15" hidden="false" customHeight="true" outlineLevel="0" collapsed="false">
      <c r="B109" s="48" t="s">
        <v>179</v>
      </c>
      <c r="D109" s="36" t="n">
        <v>156.88</v>
      </c>
      <c r="E109" s="36" t="n">
        <v>126.53</v>
      </c>
      <c r="F109" s="36" t="n">
        <v>74.84</v>
      </c>
      <c r="G109" s="36" t="n">
        <v>54.32</v>
      </c>
    </row>
    <row r="110" customFormat="false" ht="15" hidden="false" customHeight="true" outlineLevel="0" collapsed="false">
      <c r="B110" s="35" t="s">
        <v>180</v>
      </c>
      <c r="D110" s="36" t="n">
        <v>1524.03</v>
      </c>
      <c r="E110" s="36" t="n">
        <v>1451.29</v>
      </c>
      <c r="F110" s="36" t="n">
        <v>2270.76</v>
      </c>
      <c r="G110" s="36" t="n">
        <v>2141.31</v>
      </c>
    </row>
    <row r="111" customFormat="false" ht="15" hidden="false" customHeight="true" outlineLevel="0" collapsed="false">
      <c r="B111" s="35" t="s">
        <v>181</v>
      </c>
      <c r="D111" s="36" t="n">
        <v>8.87</v>
      </c>
      <c r="E111" s="36" t="n">
        <v>9.31</v>
      </c>
      <c r="F111" s="36" t="n">
        <v>24.55</v>
      </c>
      <c r="G111" s="36" t="n">
        <v>70.74</v>
      </c>
    </row>
    <row r="112" customFormat="false" ht="15" hidden="false" customHeight="true" outlineLevel="0" collapsed="false">
      <c r="B112" s="35" t="s">
        <v>182</v>
      </c>
      <c r="D112" s="36" t="n">
        <v>99.29</v>
      </c>
      <c r="E112" s="36" t="n">
        <v>103.67</v>
      </c>
      <c r="F112" s="36" t="n">
        <v>64.96</v>
      </c>
      <c r="G112" s="36" t="n">
        <v>5.46</v>
      </c>
    </row>
    <row r="113" customFormat="false" ht="15" hidden="false" customHeight="true" outlineLevel="0" collapsed="false">
      <c r="B113" s="7" t="s">
        <v>183</v>
      </c>
      <c r="D113" s="38" t="n">
        <f aca="false">SUM(D104:D112)</f>
        <v>2874.07</v>
      </c>
      <c r="E113" s="38" t="n">
        <f aca="false">SUM(E104:E112)</f>
        <v>2754.64</v>
      </c>
      <c r="F113" s="38" t="n">
        <f aca="false">SUM(F104:F112)</f>
        <v>3522.41</v>
      </c>
      <c r="G113" s="38" t="n">
        <f aca="false">SUM(G104:G112)</f>
        <v>3668.87</v>
      </c>
      <c r="H113" s="37" t="s">
        <v>83</v>
      </c>
    </row>
    <row r="115" customFormat="false" ht="15" hidden="false" customHeight="true" outlineLevel="0" collapsed="false">
      <c r="B115" s="47" t="s">
        <v>184</v>
      </c>
    </row>
    <row r="116" customFormat="false" ht="15" hidden="false" customHeight="true" outlineLevel="0" collapsed="false">
      <c r="B116" s="47" t="s">
        <v>173</v>
      </c>
    </row>
    <row r="117" customFormat="false" ht="15" hidden="false" customHeight="true" outlineLevel="0" collapsed="false">
      <c r="B117" s="48" t="s">
        <v>185</v>
      </c>
      <c r="D117" s="36" t="n">
        <v>966.35</v>
      </c>
      <c r="E117" s="36" t="n">
        <v>1857.32</v>
      </c>
      <c r="F117" s="36" t="n">
        <v>1640.48</v>
      </c>
      <c r="G117" s="36" t="n">
        <v>2618.67</v>
      </c>
    </row>
    <row r="118" customFormat="false" ht="15" hidden="false" customHeight="true" outlineLevel="0" collapsed="false">
      <c r="B118" s="48" t="s">
        <v>186</v>
      </c>
      <c r="D118" s="36" t="n">
        <v>33.75</v>
      </c>
      <c r="E118" s="36" t="n">
        <v>33.08</v>
      </c>
      <c r="F118" s="36" t="n">
        <v>49.3</v>
      </c>
      <c r="G118" s="36" t="n">
        <v>39.11</v>
      </c>
    </row>
    <row r="119" customFormat="false" ht="15" hidden="false" customHeight="true" outlineLevel="0" collapsed="false">
      <c r="B119" s="47" t="s">
        <v>187</v>
      </c>
    </row>
    <row r="120" customFormat="false" ht="15" hidden="false" customHeight="true" outlineLevel="0" collapsed="false">
      <c r="B120" s="48" t="s">
        <v>188</v>
      </c>
      <c r="D120" s="36" t="n">
        <v>375.93</v>
      </c>
      <c r="E120" s="36" t="n">
        <v>198.45</v>
      </c>
      <c r="F120" s="36" t="n">
        <v>177.36</v>
      </c>
      <c r="G120" s="36" t="n">
        <v>205.67</v>
      </c>
    </row>
    <row r="121" customFormat="false" ht="15" hidden="false" customHeight="true" outlineLevel="0" collapsed="false">
      <c r="B121" s="48" t="s">
        <v>189</v>
      </c>
      <c r="D121" s="36" t="n">
        <v>3132.57</v>
      </c>
      <c r="E121" s="36" t="n">
        <v>4127.17</v>
      </c>
      <c r="F121" s="36" t="n">
        <v>3363.99</v>
      </c>
      <c r="G121" s="36" t="n">
        <v>3837.1</v>
      </c>
    </row>
    <row r="122" customFormat="false" ht="15" hidden="false" customHeight="true" outlineLevel="0" collapsed="false">
      <c r="B122" s="48" t="s">
        <v>190</v>
      </c>
      <c r="D122" s="36" t="n">
        <v>362.37</v>
      </c>
      <c r="E122" s="36" t="n">
        <v>269.85</v>
      </c>
      <c r="F122" s="36" t="n">
        <v>246.37</v>
      </c>
      <c r="G122" s="36" t="n">
        <v>1002.93</v>
      </c>
    </row>
    <row r="123" customFormat="false" ht="15" hidden="false" customHeight="true" outlineLevel="0" collapsed="false">
      <c r="B123" s="35" t="s">
        <v>191</v>
      </c>
      <c r="D123" s="36" t="n">
        <v>3015.28</v>
      </c>
      <c r="E123" s="36" t="n">
        <v>2998.16</v>
      </c>
      <c r="F123" s="36" t="n">
        <v>2503.23</v>
      </c>
      <c r="G123" s="36" t="n">
        <v>1952.69</v>
      </c>
    </row>
    <row r="124" customFormat="false" ht="15" hidden="false" customHeight="true" outlineLevel="0" collapsed="false">
      <c r="B124" s="35" t="s">
        <v>192</v>
      </c>
      <c r="D124" s="36" t="n">
        <v>150.02</v>
      </c>
      <c r="E124" s="36" t="n">
        <v>227.22</v>
      </c>
      <c r="F124" s="36" t="n">
        <v>147.44</v>
      </c>
      <c r="G124" s="36" t="n">
        <v>149.25</v>
      </c>
    </row>
    <row r="125" customFormat="false" ht="15" hidden="false" customHeight="true" outlineLevel="0" collapsed="false">
      <c r="B125" s="35" t="s">
        <v>193</v>
      </c>
      <c r="D125" s="36" t="n">
        <v>93.56</v>
      </c>
      <c r="E125" s="36" t="n">
        <v>83.89</v>
      </c>
      <c r="F125" s="36" t="n">
        <v>62.15</v>
      </c>
      <c r="G125" s="36" t="n">
        <v>75.68</v>
      </c>
    </row>
    <row r="126" customFormat="false" ht="15" hidden="false" customHeight="true" outlineLevel="0" collapsed="false">
      <c r="B126" s="35" t="s">
        <v>194</v>
      </c>
      <c r="D126" s="36" t="n">
        <v>120.09</v>
      </c>
      <c r="E126" s="36" t="n">
        <v>86.35</v>
      </c>
      <c r="F126" s="36" t="n">
        <v>144.43</v>
      </c>
      <c r="G126" s="36" t="n">
        <v>130.33</v>
      </c>
    </row>
    <row r="127" customFormat="false" ht="15" hidden="false" customHeight="true" outlineLevel="0" collapsed="false">
      <c r="B127" s="7" t="s">
        <v>195</v>
      </c>
      <c r="D127" s="38" t="n">
        <f aca="false">SUM(D117:D126)</f>
        <v>8249.92</v>
      </c>
      <c r="E127" s="38" t="n">
        <f aca="false">SUM(E117:E126)</f>
        <v>9881.49</v>
      </c>
      <c r="F127" s="38" t="n">
        <f aca="false">SUM(F117:F126)</f>
        <v>8334.75</v>
      </c>
      <c r="G127" s="38" t="n">
        <f aca="false">SUM(G117:G126)</f>
        <v>10011.43</v>
      </c>
      <c r="H127" s="37" t="s">
        <v>83</v>
      </c>
    </row>
    <row r="129" customFormat="false" ht="15" hidden="false" customHeight="true" outlineLevel="0" collapsed="false">
      <c r="B129" s="7" t="s">
        <v>196</v>
      </c>
      <c r="D129" s="38" t="n">
        <f aca="false">D113+D127</f>
        <v>11123.99</v>
      </c>
      <c r="E129" s="38" t="n">
        <f aca="false">E113+E127</f>
        <v>12636.13</v>
      </c>
      <c r="F129" s="38" t="n">
        <f aca="false">F113+F127</f>
        <v>11857.16</v>
      </c>
      <c r="G129" s="38" t="n">
        <f aca="false">G113+G127</f>
        <v>13680.3</v>
      </c>
      <c r="H129" s="37" t="s">
        <v>197</v>
      </c>
    </row>
    <row r="131" customFormat="false" ht="15" hidden="false" customHeight="true" outlineLevel="0" collapsed="false">
      <c r="B131" s="49" t="s">
        <v>198</v>
      </c>
      <c r="D131" s="50" t="n">
        <f aca="false">D99+D129</f>
        <v>14301.24</v>
      </c>
      <c r="E131" s="50" t="n">
        <f aca="false">E99+E129</f>
        <v>16233.64</v>
      </c>
      <c r="F131" s="50" t="n">
        <f aca="false">F99+F129</f>
        <v>17119.22</v>
      </c>
      <c r="G131" s="50" t="n">
        <f aca="false">G99+G129</f>
        <v>19130.88</v>
      </c>
      <c r="H131" s="37" t="s">
        <v>199</v>
      </c>
    </row>
    <row r="133" customFormat="false" ht="15" hidden="false" customHeight="true" outlineLevel="0" collapsed="false">
      <c r="B133" s="40" t="s">
        <v>200</v>
      </c>
      <c r="C133" s="41"/>
      <c r="D133" s="41"/>
      <c r="E133" s="41"/>
      <c r="F133" s="41"/>
      <c r="G133" s="41"/>
      <c r="H133" s="41"/>
    </row>
    <row r="134" customFormat="false" ht="15" hidden="false" customHeight="true" outlineLevel="0" collapsed="false">
      <c r="B134" s="17" t="s">
        <v>201</v>
      </c>
      <c r="D134" s="42" t="n">
        <v>14301.24</v>
      </c>
      <c r="E134" s="42" t="n">
        <v>16233.64</v>
      </c>
      <c r="F134" s="42" t="n">
        <v>17119.22</v>
      </c>
      <c r="G134" s="42" t="n">
        <v>19130.88</v>
      </c>
    </row>
    <row r="135" customFormat="false" ht="15" hidden="false" customHeight="true" outlineLevel="0" collapsed="false">
      <c r="B135" s="43" t="s">
        <v>202</v>
      </c>
      <c r="D135" s="44" t="n">
        <f aca="false">D90</f>
        <v>14301.24</v>
      </c>
      <c r="E135" s="44" t="n">
        <f aca="false">E90</f>
        <v>16233.64</v>
      </c>
      <c r="F135" s="44" t="n">
        <f aca="false">F90</f>
        <v>17119.22</v>
      </c>
      <c r="G135" s="44" t="n">
        <f aca="false">G90</f>
        <v>19130.88</v>
      </c>
    </row>
    <row r="136" customFormat="false" ht="15" hidden="false" customHeight="true" outlineLevel="0" collapsed="false">
      <c r="B136" s="43" t="s">
        <v>128</v>
      </c>
      <c r="D136" s="45" t="n">
        <f aca="false">D135-D134</f>
        <v>0</v>
      </c>
      <c r="E136" s="45" t="n">
        <f aca="false">E135-E134</f>
        <v>0</v>
      </c>
      <c r="F136" s="45" t="n">
        <f aca="false">F135-F134</f>
        <v>0</v>
      </c>
      <c r="G136" s="45" t="n">
        <f aca="false">G135-G134</f>
        <v>0</v>
      </c>
      <c r="H136" s="46" t="s">
        <v>203</v>
      </c>
    </row>
    <row r="137" customFormat="false" ht="15" hidden="false" customHeight="true" outlineLevel="0" collapsed="false">
      <c r="B137" s="43" t="s">
        <v>204</v>
      </c>
      <c r="D137" s="45" t="n">
        <f aca="false">D90-D131</f>
        <v>0</v>
      </c>
      <c r="E137" s="45" t="n">
        <f aca="false">E90-E131</f>
        <v>0</v>
      </c>
      <c r="F137" s="45" t="n">
        <f aca="false">F90-F131</f>
        <v>0</v>
      </c>
      <c r="G137" s="45" t="n">
        <f aca="false">G90-G131</f>
        <v>0</v>
      </c>
      <c r="H137" s="46" t="s">
        <v>205</v>
      </c>
    </row>
    <row r="140" customFormat="false" ht="19.5" hidden="false" customHeight="true" outlineLevel="0" collapsed="false">
      <c r="B140" s="4" t="s">
        <v>206</v>
      </c>
      <c r="C140" s="4"/>
      <c r="D140" s="4"/>
      <c r="E140" s="4"/>
      <c r="F140" s="4"/>
      <c r="G140" s="4"/>
      <c r="H140" s="4"/>
    </row>
    <row r="141" customFormat="false" ht="15" hidden="false" customHeight="true" outlineLevel="0" collapsed="false">
      <c r="D141" s="16" t="s">
        <v>13</v>
      </c>
      <c r="E141" s="16" t="s">
        <v>14</v>
      </c>
      <c r="F141" s="16" t="s">
        <v>15</v>
      </c>
      <c r="G141" s="16" t="s">
        <v>16</v>
      </c>
      <c r="H141" s="16" t="s">
        <v>131</v>
      </c>
    </row>
    <row r="142" customFormat="false" ht="15" hidden="false" customHeight="true" outlineLevel="0" collapsed="false">
      <c r="B142" s="34" t="s">
        <v>207</v>
      </c>
    </row>
    <row r="143" customFormat="false" ht="15" hidden="false" customHeight="true" outlineLevel="0" collapsed="false">
      <c r="B143" s="35" t="s">
        <v>96</v>
      </c>
      <c r="D143" s="36" t="n">
        <v>599.08</v>
      </c>
      <c r="E143" s="36" t="n">
        <v>672.62</v>
      </c>
      <c r="F143" s="36" t="n">
        <v>710.01</v>
      </c>
      <c r="G143" s="36" t="n">
        <v>386.79</v>
      </c>
    </row>
    <row r="144" customFormat="false" ht="15" hidden="false" customHeight="true" outlineLevel="0" collapsed="false">
      <c r="B144" s="47" t="s">
        <v>208</v>
      </c>
    </row>
    <row r="145" customFormat="false" ht="15" hidden="false" customHeight="true" outlineLevel="0" collapsed="false">
      <c r="B145" s="35" t="s">
        <v>89</v>
      </c>
      <c r="D145" s="36" t="n">
        <v>471.58</v>
      </c>
      <c r="E145" s="36" t="n">
        <v>494.53</v>
      </c>
      <c r="F145" s="36" t="n">
        <v>491.1</v>
      </c>
      <c r="G145" s="36" t="n">
        <v>453.92</v>
      </c>
    </row>
    <row r="146" customFormat="false" ht="15" hidden="false" customHeight="true" outlineLevel="0" collapsed="false">
      <c r="B146" s="35" t="s">
        <v>209</v>
      </c>
      <c r="D146" s="36" t="n">
        <v>22.03</v>
      </c>
      <c r="E146" s="36" t="n">
        <v>12.03</v>
      </c>
      <c r="F146" s="36" t="n">
        <v>5.19</v>
      </c>
      <c r="G146" s="36" t="n">
        <v>23.61</v>
      </c>
    </row>
    <row r="147" customFormat="false" ht="15" hidden="false" customHeight="true" outlineLevel="0" collapsed="false">
      <c r="B147" s="35" t="s">
        <v>210</v>
      </c>
      <c r="D147" s="36" t="n">
        <v>-43.42</v>
      </c>
      <c r="E147" s="36" t="n">
        <v>-133.87</v>
      </c>
      <c r="F147" s="36" t="n">
        <v>-186.8</v>
      </c>
      <c r="G147" s="36" t="n">
        <v>-80.11</v>
      </c>
      <c r="H147" s="37" t="s">
        <v>211</v>
      </c>
    </row>
    <row r="148" customFormat="false" ht="15" hidden="false" customHeight="true" outlineLevel="0" collapsed="false">
      <c r="B148" s="35" t="s">
        <v>212</v>
      </c>
      <c r="D148" s="36" t="n">
        <v>-17.45</v>
      </c>
      <c r="E148" s="36" t="n">
        <v>-9.65</v>
      </c>
      <c r="F148" s="36" t="n">
        <v>-4.66</v>
      </c>
      <c r="G148" s="36" t="n">
        <v>-11.96</v>
      </c>
      <c r="H148" s="37" t="s">
        <v>211</v>
      </c>
    </row>
    <row r="149" customFormat="false" ht="15" hidden="false" customHeight="true" outlineLevel="0" collapsed="false">
      <c r="B149" s="35" t="s">
        <v>88</v>
      </c>
      <c r="D149" s="36" t="n">
        <v>446.66</v>
      </c>
      <c r="E149" s="36" t="n">
        <v>577.26</v>
      </c>
      <c r="F149" s="36" t="n">
        <v>629.2</v>
      </c>
      <c r="G149" s="36" t="n">
        <v>673.61</v>
      </c>
    </row>
    <row r="150" customFormat="false" ht="15" hidden="false" customHeight="true" outlineLevel="0" collapsed="false">
      <c r="B150" s="35" t="s">
        <v>213</v>
      </c>
      <c r="D150" s="36" t="n">
        <v>9.43</v>
      </c>
      <c r="E150" s="36" t="n">
        <v>4.15</v>
      </c>
      <c r="F150" s="36" t="n">
        <v>36.8</v>
      </c>
      <c r="G150" s="36" t="n">
        <v>22.72</v>
      </c>
      <c r="H150" s="37" t="s">
        <v>214</v>
      </c>
    </row>
    <row r="151" customFormat="false" ht="15" hidden="false" customHeight="true" outlineLevel="0" collapsed="false">
      <c r="B151" s="35" t="s">
        <v>215</v>
      </c>
      <c r="D151" s="36" t="n">
        <v>-19.12</v>
      </c>
      <c r="E151" s="36" t="n">
        <v>-0.35</v>
      </c>
      <c r="F151" s="36" t="n">
        <v>-75</v>
      </c>
      <c r="G151" s="36" t="n">
        <v>0</v>
      </c>
    </row>
    <row r="152" customFormat="false" ht="15" hidden="false" customHeight="true" outlineLevel="0" collapsed="false">
      <c r="B152" s="35" t="s">
        <v>216</v>
      </c>
      <c r="D152" s="36" t="n">
        <v>22.93</v>
      </c>
      <c r="E152" s="36" t="n">
        <v>27.47</v>
      </c>
      <c r="F152" s="36" t="n">
        <v>122.53</v>
      </c>
      <c r="G152" s="36" t="n">
        <v>321.71</v>
      </c>
    </row>
    <row r="153" customFormat="false" ht="15" hidden="false" customHeight="true" outlineLevel="0" collapsed="false">
      <c r="B153" s="35" t="s">
        <v>217</v>
      </c>
      <c r="D153" s="36" t="n">
        <v>-4.44</v>
      </c>
      <c r="E153" s="36" t="n">
        <v>-17.97</v>
      </c>
      <c r="F153" s="36" t="n">
        <v>-48.11</v>
      </c>
      <c r="G153" s="36" t="n">
        <v>-15.89</v>
      </c>
    </row>
    <row r="154" customFormat="false" ht="15" hidden="false" customHeight="true" outlineLevel="0" collapsed="false">
      <c r="B154" s="35" t="s">
        <v>218</v>
      </c>
      <c r="D154" s="36" t="n">
        <v>0</v>
      </c>
      <c r="E154" s="36" t="n">
        <v>0</v>
      </c>
      <c r="F154" s="36" t="n">
        <v>0</v>
      </c>
      <c r="G154" s="36" t="n">
        <v>0</v>
      </c>
      <c r="H154" s="37" t="s">
        <v>219</v>
      </c>
    </row>
    <row r="155" customFormat="false" ht="15" hidden="false" customHeight="true" outlineLevel="0" collapsed="false">
      <c r="B155" s="35" t="s">
        <v>220</v>
      </c>
      <c r="D155" s="36" t="n">
        <v>3.01</v>
      </c>
      <c r="E155" s="36" t="n">
        <v>60.13</v>
      </c>
      <c r="F155" s="36" t="n">
        <v>-3.32</v>
      </c>
      <c r="G155" s="36" t="n">
        <v>-24.05</v>
      </c>
    </row>
    <row r="156" customFormat="false" ht="15" hidden="false" customHeight="true" outlineLevel="0" collapsed="false">
      <c r="B156" s="35" t="s">
        <v>221</v>
      </c>
      <c r="D156" s="36" t="n">
        <v>-73.72</v>
      </c>
      <c r="E156" s="36" t="n">
        <v>-53.23</v>
      </c>
      <c r="F156" s="36" t="n">
        <v>-46.01</v>
      </c>
      <c r="G156" s="36" t="n">
        <v>-48.15</v>
      </c>
    </row>
    <row r="157" customFormat="false" ht="15" hidden="false" customHeight="true" outlineLevel="0" collapsed="false">
      <c r="B157" s="7" t="s">
        <v>222</v>
      </c>
      <c r="D157" s="38" t="n">
        <f aca="false">SUM(D143:D156)</f>
        <v>1416.57</v>
      </c>
      <c r="E157" s="38" t="n">
        <f aca="false">SUM(E143:E156)</f>
        <v>1633.12</v>
      </c>
      <c r="F157" s="38" t="n">
        <f aca="false">SUM(F143:F156)</f>
        <v>1630.93</v>
      </c>
      <c r="G157" s="38" t="n">
        <f aca="false">SUM(G143:G156)</f>
        <v>1702.2</v>
      </c>
      <c r="H157" s="37" t="s">
        <v>83</v>
      </c>
    </row>
    <row r="159" customFormat="false" ht="15" hidden="false" customHeight="true" outlineLevel="0" collapsed="false">
      <c r="B159" s="47" t="s">
        <v>223</v>
      </c>
    </row>
    <row r="160" customFormat="false" ht="15" hidden="false" customHeight="true" outlineLevel="0" collapsed="false">
      <c r="B160" s="35" t="s">
        <v>224</v>
      </c>
      <c r="D160" s="36" t="n">
        <v>125.15</v>
      </c>
      <c r="E160" s="36" t="n">
        <v>-793.91</v>
      </c>
      <c r="F160" s="36" t="n">
        <v>156.58</v>
      </c>
      <c r="G160" s="36" t="n">
        <v>-680.11</v>
      </c>
    </row>
    <row r="161" customFormat="false" ht="15" hidden="false" customHeight="true" outlineLevel="0" collapsed="false">
      <c r="B161" s="35" t="s">
        <v>225</v>
      </c>
      <c r="D161" s="36" t="n">
        <v>-315.55</v>
      </c>
      <c r="E161" s="36" t="n">
        <v>-40.77</v>
      </c>
      <c r="F161" s="36" t="n">
        <v>616.34</v>
      </c>
      <c r="G161" s="36" t="n">
        <v>-6.35</v>
      </c>
    </row>
    <row r="162" customFormat="false" ht="15" hidden="false" customHeight="true" outlineLevel="0" collapsed="false">
      <c r="B162" s="35" t="s">
        <v>226</v>
      </c>
      <c r="D162" s="36" t="n">
        <v>-731.41</v>
      </c>
      <c r="E162" s="36" t="n">
        <v>-546.65</v>
      </c>
      <c r="F162" s="36" t="n">
        <v>-1949.33</v>
      </c>
      <c r="G162" s="36" t="n">
        <v>-635.74</v>
      </c>
    </row>
    <row r="163" customFormat="false" ht="15" hidden="false" customHeight="true" outlineLevel="0" collapsed="false">
      <c r="B163" s="35" t="s">
        <v>227</v>
      </c>
      <c r="D163" s="36" t="n">
        <v>-318.82</v>
      </c>
      <c r="E163" s="36" t="n">
        <v>-38.74</v>
      </c>
      <c r="F163" s="36" t="n">
        <v>180.15</v>
      </c>
      <c r="G163" s="36" t="n">
        <v>-38.2</v>
      </c>
    </row>
    <row r="164" customFormat="false" ht="15" hidden="false" customHeight="true" outlineLevel="0" collapsed="false">
      <c r="B164" s="35" t="s">
        <v>228</v>
      </c>
      <c r="D164" s="36" t="n">
        <v>164.1</v>
      </c>
      <c r="E164" s="36" t="n">
        <v>65.23</v>
      </c>
      <c r="F164" s="36" t="n">
        <v>-77.42</v>
      </c>
      <c r="G164" s="36" t="n">
        <v>-8.64</v>
      </c>
    </row>
    <row r="165" customFormat="false" ht="15" hidden="false" customHeight="true" outlineLevel="0" collapsed="false">
      <c r="B165" s="35" t="s">
        <v>229</v>
      </c>
      <c r="D165" s="36" t="n">
        <v>850.59</v>
      </c>
      <c r="E165" s="36" t="n">
        <v>792.19</v>
      </c>
      <c r="F165" s="36" t="n">
        <v>-732.2</v>
      </c>
      <c r="G165" s="36" t="n">
        <v>519.64</v>
      </c>
    </row>
    <row r="166" customFormat="false" ht="15" hidden="false" customHeight="true" outlineLevel="0" collapsed="false">
      <c r="B166" s="35" t="s">
        <v>230</v>
      </c>
      <c r="D166" s="36" t="n">
        <v>123.26</v>
      </c>
      <c r="E166" s="36" t="n">
        <v>-33.83</v>
      </c>
      <c r="F166" s="36" t="n">
        <v>369.09</v>
      </c>
      <c r="G166" s="36" t="n">
        <v>-642.95</v>
      </c>
    </row>
    <row r="167" customFormat="false" ht="15" hidden="false" customHeight="true" outlineLevel="0" collapsed="false">
      <c r="B167" s="35" t="s">
        <v>231</v>
      </c>
      <c r="D167" s="36" t="n">
        <v>-69.15</v>
      </c>
      <c r="E167" s="36" t="n">
        <v>-51.81</v>
      </c>
      <c r="F167" s="36" t="n">
        <v>-75.21</v>
      </c>
      <c r="G167" s="36" t="n">
        <v>54.04</v>
      </c>
    </row>
    <row r="168" customFormat="false" ht="15" hidden="false" customHeight="true" outlineLevel="0" collapsed="false">
      <c r="B168" s="35" t="s">
        <v>232</v>
      </c>
      <c r="D168" s="36" t="n">
        <v>72.39</v>
      </c>
      <c r="E168" s="36" t="n">
        <v>-33.74</v>
      </c>
      <c r="F168" s="36" t="n">
        <v>58.08</v>
      </c>
      <c r="G168" s="36" t="n">
        <v>-14.1</v>
      </c>
    </row>
    <row r="169" customFormat="false" ht="15" hidden="false" customHeight="true" outlineLevel="0" collapsed="false">
      <c r="B169" s="35" t="s">
        <v>233</v>
      </c>
      <c r="D169" s="36" t="n">
        <v>-1.78</v>
      </c>
      <c r="E169" s="36" t="n">
        <v>6.13</v>
      </c>
      <c r="F169" s="36" t="n">
        <v>-68.89</v>
      </c>
      <c r="G169" s="36" t="n">
        <v>-139.79</v>
      </c>
    </row>
    <row r="170" customFormat="false" ht="15" hidden="false" customHeight="true" outlineLevel="0" collapsed="false">
      <c r="B170" s="7" t="s">
        <v>234</v>
      </c>
      <c r="D170" s="38" t="n">
        <f aca="false">D157+SUM(D160:D169)</f>
        <v>1315.35</v>
      </c>
      <c r="E170" s="38" t="n">
        <f aca="false">E157+SUM(E160:E169)</f>
        <v>957.22</v>
      </c>
      <c r="F170" s="38" t="n">
        <f aca="false">F157+SUM(F160:F169)</f>
        <v>108.12</v>
      </c>
      <c r="G170" s="38" t="n">
        <f aca="false">G157+SUM(G160:G169)</f>
        <v>110</v>
      </c>
      <c r="H170" s="37" t="s">
        <v>235</v>
      </c>
    </row>
    <row r="171" customFormat="false" ht="15" hidden="false" customHeight="true" outlineLevel="0" collapsed="false">
      <c r="B171" s="35" t="s">
        <v>236</v>
      </c>
      <c r="D171" s="36" t="n">
        <v>-99.9</v>
      </c>
      <c r="E171" s="36" t="n">
        <v>-250.12</v>
      </c>
      <c r="F171" s="36" t="n">
        <v>-240.32</v>
      </c>
      <c r="G171" s="36" t="n">
        <v>-237.49</v>
      </c>
    </row>
    <row r="172" customFormat="false" ht="15" hidden="false" customHeight="true" outlineLevel="0" collapsed="false">
      <c r="B172" s="7" t="s">
        <v>237</v>
      </c>
      <c r="D172" s="38" t="n">
        <f aca="false">D170+D171</f>
        <v>1215.45</v>
      </c>
      <c r="E172" s="38" t="n">
        <f aca="false">E170+E171</f>
        <v>707.1</v>
      </c>
      <c r="F172" s="38" t="n">
        <f aca="false">F170+F171</f>
        <v>-132.2</v>
      </c>
      <c r="G172" s="38" t="n">
        <f aca="false">G170+G171</f>
        <v>-127.49</v>
      </c>
      <c r="H172" s="37" t="s">
        <v>238</v>
      </c>
    </row>
    <row r="174" customFormat="false" ht="15" hidden="false" customHeight="true" outlineLevel="0" collapsed="false">
      <c r="B174" s="34" t="s">
        <v>239</v>
      </c>
    </row>
    <row r="175" customFormat="false" ht="15" hidden="false" customHeight="true" outlineLevel="0" collapsed="false">
      <c r="B175" s="35" t="s">
        <v>240</v>
      </c>
      <c r="D175" s="36" t="n">
        <v>-918.96</v>
      </c>
      <c r="E175" s="36" t="n">
        <v>-716.4</v>
      </c>
      <c r="F175" s="36" t="n">
        <v>-344.49</v>
      </c>
      <c r="G175" s="36" t="n">
        <v>-371.79</v>
      </c>
    </row>
    <row r="176" customFormat="false" ht="15" hidden="false" customHeight="true" outlineLevel="0" collapsed="false">
      <c r="B176" s="35" t="s">
        <v>241</v>
      </c>
      <c r="D176" s="36" t="n">
        <v>9.03</v>
      </c>
      <c r="E176" s="36" t="n">
        <v>34.04</v>
      </c>
      <c r="F176" s="36" t="n">
        <v>6.47</v>
      </c>
      <c r="G176" s="36" t="n">
        <v>7.86</v>
      </c>
    </row>
    <row r="177" customFormat="false" ht="15" hidden="false" customHeight="true" outlineLevel="0" collapsed="false">
      <c r="B177" s="35" t="s">
        <v>242</v>
      </c>
      <c r="D177" s="36" t="n">
        <v>74.36</v>
      </c>
      <c r="E177" s="36" t="n">
        <v>9.25</v>
      </c>
      <c r="F177" s="36" t="n">
        <v>174.23</v>
      </c>
      <c r="G177" s="36" t="n">
        <v>251.61</v>
      </c>
    </row>
    <row r="178" customFormat="false" ht="15" hidden="false" customHeight="true" outlineLevel="0" collapsed="false">
      <c r="B178" s="35" t="s">
        <v>243</v>
      </c>
      <c r="D178" s="36" t="n">
        <v>-63.56</v>
      </c>
      <c r="E178" s="36" t="n">
        <v>-211.6</v>
      </c>
      <c r="F178" s="36" t="n">
        <v>-245.29</v>
      </c>
      <c r="G178" s="36" t="n">
        <v>-418.8</v>
      </c>
    </row>
    <row r="179" customFormat="false" ht="15" hidden="false" customHeight="true" outlineLevel="0" collapsed="false">
      <c r="B179" s="35" t="s">
        <v>244</v>
      </c>
      <c r="D179" s="36" t="n">
        <v>11.49</v>
      </c>
      <c r="E179" s="36" t="n">
        <v>16.5</v>
      </c>
      <c r="F179" s="36" t="n">
        <v>273.07</v>
      </c>
      <c r="G179" s="36" t="n">
        <v>117.44</v>
      </c>
    </row>
    <row r="180" customFormat="false" ht="15" hidden="false" customHeight="true" outlineLevel="0" collapsed="false">
      <c r="B180" s="35" t="s">
        <v>212</v>
      </c>
      <c r="D180" s="36" t="n">
        <v>17.45</v>
      </c>
      <c r="E180" s="36" t="n">
        <v>9.65</v>
      </c>
      <c r="F180" s="36" t="n">
        <v>4.66</v>
      </c>
      <c r="G180" s="36" t="n">
        <v>11.96</v>
      </c>
    </row>
    <row r="181" customFormat="false" ht="15" hidden="false" customHeight="true" outlineLevel="0" collapsed="false">
      <c r="B181" s="7" t="s">
        <v>245</v>
      </c>
      <c r="D181" s="38" t="n">
        <f aca="false">SUM(D175:D180)</f>
        <v>-870.19</v>
      </c>
      <c r="E181" s="38" t="n">
        <f aca="false">SUM(E175:E180)</f>
        <v>-858.56</v>
      </c>
      <c r="F181" s="38" t="n">
        <f aca="false">SUM(F175:F180)</f>
        <v>-131.35</v>
      </c>
      <c r="G181" s="38" t="n">
        <f aca="false">SUM(G175:G180)</f>
        <v>-401.72</v>
      </c>
      <c r="H181" s="37" t="s">
        <v>83</v>
      </c>
    </row>
    <row r="183" customFormat="false" ht="15" hidden="false" customHeight="true" outlineLevel="0" collapsed="false">
      <c r="B183" s="34" t="s">
        <v>246</v>
      </c>
    </row>
    <row r="184" customFormat="false" ht="15" hidden="false" customHeight="true" outlineLevel="0" collapsed="false">
      <c r="B184" s="35" t="s">
        <v>247</v>
      </c>
      <c r="D184" s="36" t="n">
        <v>374.34</v>
      </c>
      <c r="E184" s="36" t="n">
        <v>201.63</v>
      </c>
      <c r="F184" s="36" t="n">
        <v>227.42</v>
      </c>
      <c r="G184" s="36" t="n">
        <v>771.5</v>
      </c>
    </row>
    <row r="185" customFormat="false" ht="15" hidden="false" customHeight="true" outlineLevel="0" collapsed="false">
      <c r="B185" s="35" t="s">
        <v>248</v>
      </c>
      <c r="D185" s="36" t="n">
        <v>-179.75</v>
      </c>
      <c r="E185" s="36" t="n">
        <v>-200.42</v>
      </c>
      <c r="F185" s="36" t="n">
        <v>-229.87</v>
      </c>
      <c r="G185" s="36" t="n">
        <v>-447.14</v>
      </c>
    </row>
    <row r="186" customFormat="false" ht="15" hidden="false" customHeight="true" outlineLevel="0" collapsed="false">
      <c r="B186" s="35" t="s">
        <v>249</v>
      </c>
      <c r="D186" s="36" t="n">
        <v>0</v>
      </c>
      <c r="E186" s="36" t="n">
        <v>0</v>
      </c>
      <c r="F186" s="36" t="n">
        <v>1250</v>
      </c>
      <c r="G186" s="36" t="n">
        <v>0</v>
      </c>
      <c r="H186" s="37" t="s">
        <v>250</v>
      </c>
    </row>
    <row r="187" customFormat="false" ht="15" hidden="false" customHeight="true" outlineLevel="0" collapsed="false">
      <c r="B187" s="35" t="s">
        <v>251</v>
      </c>
      <c r="D187" s="36" t="n">
        <v>0</v>
      </c>
      <c r="E187" s="36" t="n">
        <v>0</v>
      </c>
      <c r="F187" s="36" t="n">
        <v>-30.12</v>
      </c>
      <c r="G187" s="36" t="n">
        <v>0</v>
      </c>
    </row>
    <row r="188" customFormat="false" ht="15" hidden="false" customHeight="true" outlineLevel="0" collapsed="false">
      <c r="B188" s="35" t="s">
        <v>252</v>
      </c>
      <c r="D188" s="36" t="n">
        <v>-185.56</v>
      </c>
      <c r="E188" s="36" t="n">
        <v>888.64</v>
      </c>
      <c r="F188" s="36" t="n">
        <v>-219.02</v>
      </c>
      <c r="G188" s="36" t="n">
        <v>974.44</v>
      </c>
    </row>
    <row r="189" customFormat="false" ht="15" hidden="false" customHeight="true" outlineLevel="0" collapsed="false">
      <c r="B189" s="35" t="s">
        <v>253</v>
      </c>
      <c r="D189" s="36" t="n">
        <v>-448.06</v>
      </c>
      <c r="E189" s="36" t="n">
        <v>-574.93</v>
      </c>
      <c r="F189" s="36" t="n">
        <v>-627.02</v>
      </c>
      <c r="G189" s="36" t="n">
        <v>-669.86</v>
      </c>
    </row>
    <row r="190" customFormat="false" ht="15" hidden="false" customHeight="true" outlineLevel="0" collapsed="false">
      <c r="B190" s="35" t="s">
        <v>254</v>
      </c>
      <c r="D190" s="36" t="n">
        <v>-43.45</v>
      </c>
      <c r="E190" s="36" t="n">
        <v>-40.56</v>
      </c>
      <c r="F190" s="36" t="n">
        <v>-49.08</v>
      </c>
      <c r="G190" s="36" t="n">
        <v>-64.07</v>
      </c>
    </row>
    <row r="191" customFormat="false" ht="15" hidden="false" customHeight="true" outlineLevel="0" collapsed="false">
      <c r="B191" s="35" t="s">
        <v>255</v>
      </c>
      <c r="D191" s="36" t="n">
        <v>0</v>
      </c>
      <c r="E191" s="36" t="n">
        <v>-28.79</v>
      </c>
      <c r="F191" s="36" t="n">
        <v>-32.33</v>
      </c>
      <c r="G191" s="36" t="n">
        <v>-91.95</v>
      </c>
    </row>
    <row r="192" customFormat="false" ht="15" hidden="false" customHeight="true" outlineLevel="0" collapsed="false">
      <c r="B192" s="35" t="s">
        <v>256</v>
      </c>
      <c r="D192" s="36" t="n">
        <v>-0.05</v>
      </c>
      <c r="E192" s="36" t="n">
        <v>-0.05</v>
      </c>
      <c r="F192" s="36" t="n">
        <v>-0.04</v>
      </c>
      <c r="G192" s="36" t="n">
        <v>0</v>
      </c>
    </row>
    <row r="193" customFormat="false" ht="15" hidden="false" customHeight="true" outlineLevel="0" collapsed="false">
      <c r="B193" s="7" t="s">
        <v>257</v>
      </c>
      <c r="D193" s="38" t="n">
        <f aca="false">SUM(D184:D192)</f>
        <v>-482.53</v>
      </c>
      <c r="E193" s="38" t="n">
        <f aca="false">SUM(E184:E192)</f>
        <v>245.52</v>
      </c>
      <c r="F193" s="38" t="n">
        <f aca="false">SUM(F184:F192)</f>
        <v>289.94</v>
      </c>
      <c r="G193" s="38" t="n">
        <f aca="false">SUM(G184:G192)</f>
        <v>472.92</v>
      </c>
      <c r="H193" s="37" t="s">
        <v>83</v>
      </c>
    </row>
    <row r="195" customFormat="false" ht="15" hidden="false" customHeight="true" outlineLevel="0" collapsed="false">
      <c r="B195" s="7" t="s">
        <v>258</v>
      </c>
      <c r="D195" s="38" t="n">
        <f aca="false">D172+D181+D193</f>
        <v>-137.27</v>
      </c>
      <c r="E195" s="38" t="n">
        <f aca="false">E172+E181+E193</f>
        <v>94.0600000000001</v>
      </c>
      <c r="F195" s="38" t="n">
        <f aca="false">F172+F181+F193</f>
        <v>26.3900000000001</v>
      </c>
      <c r="G195" s="38" t="n">
        <f aca="false">G172+G181+G193</f>
        <v>-56.29</v>
      </c>
      <c r="H195" s="37" t="s">
        <v>259</v>
      </c>
    </row>
    <row r="196" customFormat="false" ht="15" hidden="false" customHeight="true" outlineLevel="0" collapsed="false">
      <c r="B196" s="35" t="s">
        <v>260</v>
      </c>
      <c r="D196" s="36" t="n">
        <v>447.08</v>
      </c>
      <c r="E196" s="36" t="n">
        <v>319.32</v>
      </c>
      <c r="F196" s="36" t="n">
        <v>413.26</v>
      </c>
      <c r="G196" s="36" t="n">
        <v>440.17</v>
      </c>
      <c r="H196" s="37" t="s">
        <v>261</v>
      </c>
    </row>
    <row r="197" customFormat="false" ht="15" hidden="false" customHeight="true" outlineLevel="0" collapsed="false">
      <c r="B197" s="35" t="s">
        <v>262</v>
      </c>
      <c r="D197" s="36" t="n">
        <v>9.51</v>
      </c>
      <c r="E197" s="36" t="n">
        <v>-0.47</v>
      </c>
      <c r="F197" s="36" t="n">
        <v>0.52</v>
      </c>
      <c r="G197" s="36" t="n">
        <v>1.82</v>
      </c>
    </row>
    <row r="198" customFormat="false" ht="15" hidden="false" customHeight="true" outlineLevel="0" collapsed="false">
      <c r="B198" s="7" t="s">
        <v>263</v>
      </c>
      <c r="D198" s="38" t="n">
        <f aca="false">D195+D196+D197</f>
        <v>319.32</v>
      </c>
      <c r="E198" s="38" t="n">
        <f aca="false">E195+E196+E197</f>
        <v>412.91</v>
      </c>
      <c r="F198" s="38" t="n">
        <f aca="false">F195+F196+F197</f>
        <v>440.17</v>
      </c>
      <c r="G198" s="38" t="n">
        <f aca="false">G195+G196+G197</f>
        <v>385.7</v>
      </c>
      <c r="H198" s="37" t="s">
        <v>264</v>
      </c>
    </row>
    <row r="200" customFormat="false" ht="15" hidden="false" customHeight="true" outlineLevel="0" collapsed="false">
      <c r="B200" s="40" t="s">
        <v>265</v>
      </c>
      <c r="C200" s="41"/>
      <c r="D200" s="41"/>
      <c r="E200" s="41"/>
      <c r="F200" s="41"/>
      <c r="G200" s="41"/>
      <c r="H200" s="41"/>
    </row>
    <row r="201" customFormat="false" ht="15" hidden="false" customHeight="true" outlineLevel="0" collapsed="false">
      <c r="B201" s="17" t="s">
        <v>266</v>
      </c>
      <c r="D201" s="42" t="n">
        <v>319.32</v>
      </c>
      <c r="E201" s="42" t="n">
        <v>413.26</v>
      </c>
      <c r="F201" s="42" t="n">
        <v>440.17</v>
      </c>
      <c r="G201" s="42" t="n">
        <v>385.7</v>
      </c>
    </row>
    <row r="202" customFormat="false" ht="15" hidden="false" customHeight="true" outlineLevel="0" collapsed="false">
      <c r="B202" s="43" t="s">
        <v>267</v>
      </c>
      <c r="D202" s="44" t="n">
        <f aca="false">D198</f>
        <v>319.32</v>
      </c>
      <c r="E202" s="44" t="n">
        <f aca="false">E198</f>
        <v>412.91</v>
      </c>
      <c r="F202" s="44" t="n">
        <f aca="false">F198</f>
        <v>440.17</v>
      </c>
      <c r="G202" s="44" t="n">
        <f aca="false">G198</f>
        <v>385.7</v>
      </c>
    </row>
    <row r="203" customFormat="false" ht="15" hidden="false" customHeight="true" outlineLevel="0" collapsed="false">
      <c r="B203" s="43" t="s">
        <v>268</v>
      </c>
      <c r="D203" s="45" t="n">
        <f aca="false">D202-D201</f>
        <v>0</v>
      </c>
      <c r="E203" s="45" t="n">
        <f aca="false">E202-E201</f>
        <v>-0.349999999999909</v>
      </c>
      <c r="F203" s="45" t="n">
        <f aca="false">F202-F201</f>
        <v>0</v>
      </c>
      <c r="G203" s="45" t="n">
        <f aca="false">G202-G201</f>
        <v>0</v>
      </c>
      <c r="H203" s="46" t="s">
        <v>269</v>
      </c>
    </row>
    <row r="204" customFormat="false" ht="15" hidden="false" customHeight="true" outlineLevel="0" collapsed="false">
      <c r="B204" s="43" t="s">
        <v>270</v>
      </c>
      <c r="D204" s="45" t="n">
        <f aca="false">D198-D82</f>
        <v>0</v>
      </c>
      <c r="E204" s="45" t="n">
        <f aca="false">E198-E82</f>
        <v>-0.349999999999909</v>
      </c>
      <c r="F204" s="45" t="n">
        <f aca="false">F198-F82</f>
        <v>0</v>
      </c>
      <c r="G204" s="45" t="n">
        <f aca="false">G198-G82</f>
        <v>0</v>
      </c>
      <c r="H204" s="46" t="s">
        <v>205</v>
      </c>
    </row>
    <row r="207" customFormat="false" ht="19.5" hidden="false" customHeight="true" outlineLevel="0" collapsed="false">
      <c r="B207" s="4" t="s">
        <v>271</v>
      </c>
      <c r="C207" s="4"/>
      <c r="D207" s="4"/>
      <c r="E207" s="4"/>
      <c r="F207" s="4"/>
      <c r="G207" s="4"/>
      <c r="H207" s="4"/>
    </row>
    <row r="208" customFormat="false" ht="15" hidden="false" customHeight="true" outlineLevel="0" collapsed="false">
      <c r="D208" s="16" t="s">
        <v>13</v>
      </c>
      <c r="E208" s="16" t="s">
        <v>14</v>
      </c>
      <c r="F208" s="16" t="s">
        <v>15</v>
      </c>
      <c r="G208" s="16" t="s">
        <v>16</v>
      </c>
      <c r="H208" s="16" t="s">
        <v>272</v>
      </c>
    </row>
    <row r="209" customFormat="false" ht="15" hidden="false" customHeight="true" outlineLevel="0" collapsed="false">
      <c r="B209" s="34" t="s">
        <v>273</v>
      </c>
    </row>
    <row r="210" customFormat="false" ht="15" hidden="false" customHeight="true" outlineLevel="0" collapsed="false">
      <c r="B210" s="51" t="s">
        <v>22</v>
      </c>
      <c r="D210" s="12" t="n">
        <f aca="false">D8-D13-D14-D15-D18</f>
        <v>1310.61</v>
      </c>
      <c r="E210" s="12" t="n">
        <f aca="false">E8-E13-E14-E15-E18</f>
        <v>1365.03</v>
      </c>
      <c r="F210" s="12" t="n">
        <f aca="false">F8-F13-F14-F15-F18</f>
        <v>1355.96</v>
      </c>
      <c r="G210" s="12" t="n">
        <f aca="false">G8-G13-G14-G15-G18</f>
        <v>1217.11</v>
      </c>
      <c r="H210" s="37" t="s">
        <v>274</v>
      </c>
    </row>
    <row r="211" customFormat="false" ht="15" hidden="false" customHeight="true" outlineLevel="0" collapsed="false">
      <c r="B211" s="51" t="s">
        <v>275</v>
      </c>
      <c r="D211" s="20" t="n">
        <f aca="false">D210/D8</f>
        <v>0.103708996643291</v>
      </c>
      <c r="E211" s="20" t="n">
        <f aca="false">E210/E8</f>
        <v>0.102885245901639</v>
      </c>
      <c r="F211" s="20" t="n">
        <f aca="false">F210/F8</f>
        <v>0.108058225657095</v>
      </c>
      <c r="G211" s="20" t="n">
        <f aca="false">G210/G8</f>
        <v>0.101864018385756</v>
      </c>
      <c r="H211" s="37" t="s">
        <v>276</v>
      </c>
    </row>
    <row r="212" customFormat="false" ht="15" hidden="false" customHeight="true" outlineLevel="0" collapsed="false">
      <c r="B212" s="51" t="s">
        <v>277</v>
      </c>
      <c r="D212" s="36" t="n">
        <v>1373.46</v>
      </c>
      <c r="E212" s="36" t="n">
        <v>1583.07</v>
      </c>
      <c r="F212" s="36" t="n">
        <v>1661.8</v>
      </c>
      <c r="G212" s="36" t="n">
        <v>1438.77</v>
      </c>
      <c r="H212" s="37" t="s">
        <v>278</v>
      </c>
    </row>
    <row r="213" customFormat="false" ht="15" hidden="false" customHeight="true" outlineLevel="0" collapsed="false">
      <c r="B213" s="51" t="s">
        <v>279</v>
      </c>
      <c r="D213" s="12" t="n">
        <f aca="false">D210+D9-D212</f>
        <v>143.859999999999</v>
      </c>
      <c r="E213" s="12" t="n">
        <f aca="false">E210+E9-E212</f>
        <v>161.34</v>
      </c>
      <c r="F213" s="12" t="n">
        <f aca="false">F210+F9-F212</f>
        <v>168.51</v>
      </c>
      <c r="G213" s="12" t="n">
        <f aca="false">G210+G9-G212</f>
        <v>152.059999999999</v>
      </c>
      <c r="H213" s="37" t="s">
        <v>280</v>
      </c>
    </row>
    <row r="215" customFormat="false" ht="15" hidden="false" customHeight="true" outlineLevel="0" collapsed="false">
      <c r="B215" s="34" t="s">
        <v>281</v>
      </c>
    </row>
    <row r="216" customFormat="false" ht="15" hidden="false" customHeight="true" outlineLevel="0" collapsed="false">
      <c r="B216" s="51" t="s">
        <v>282</v>
      </c>
      <c r="D216" s="12" t="n">
        <f aca="false">D104+D117</f>
        <v>1562.83</v>
      </c>
      <c r="E216" s="12" t="n">
        <f aca="false">E104+E117</f>
        <v>2455.01</v>
      </c>
      <c r="F216" s="12" t="n">
        <f aca="false">F104+F117</f>
        <v>2235.72</v>
      </c>
      <c r="G216" s="12" t="n">
        <f aca="false">G104+G117</f>
        <v>3538.27</v>
      </c>
      <c r="H216" s="37" t="s">
        <v>283</v>
      </c>
    </row>
    <row r="217" customFormat="false" ht="15" hidden="false" customHeight="true" outlineLevel="0" collapsed="false">
      <c r="B217" s="51" t="s">
        <v>284</v>
      </c>
      <c r="D217" s="12" t="n">
        <f aca="false">D105+D118</f>
        <v>49.43</v>
      </c>
      <c r="E217" s="12" t="n">
        <f aca="false">E105+E118</f>
        <v>68.23</v>
      </c>
      <c r="F217" s="12" t="n">
        <f aca="false">F105+F118</f>
        <v>107.58</v>
      </c>
      <c r="G217" s="12" t="n">
        <f aca="false">G105+G118</f>
        <v>88.64</v>
      </c>
      <c r="H217" s="37" t="s">
        <v>285</v>
      </c>
    </row>
    <row r="218" customFormat="false" ht="15" hidden="false" customHeight="true" outlineLevel="0" collapsed="false">
      <c r="B218" s="51" t="s">
        <v>286</v>
      </c>
      <c r="D218" s="12" t="n">
        <f aca="false">D107+D108+D120+D121</f>
        <v>3981.34</v>
      </c>
      <c r="E218" s="12" t="n">
        <f aca="false">E107+E108+E120+E121</f>
        <v>4756.62</v>
      </c>
      <c r="F218" s="12" t="n">
        <f aca="false">F107+F108+F120+F121</f>
        <v>3975.13</v>
      </c>
      <c r="G218" s="12" t="n">
        <f aca="false">G107+G108+G120+G121</f>
        <v>4470.68</v>
      </c>
      <c r="H218" s="37" t="s">
        <v>287</v>
      </c>
    </row>
    <row r="219" customFormat="false" ht="15" hidden="false" customHeight="true" outlineLevel="0" collapsed="false">
      <c r="B219" s="51" t="s">
        <v>288</v>
      </c>
      <c r="D219" s="12" t="n">
        <f aca="false">D110+D123</f>
        <v>4539.31</v>
      </c>
      <c r="E219" s="12" t="n">
        <f aca="false">E110+E123</f>
        <v>4449.45</v>
      </c>
      <c r="F219" s="12" t="n">
        <f aca="false">F110+F123</f>
        <v>4773.99</v>
      </c>
      <c r="G219" s="12" t="n">
        <f aca="false">G110+G123</f>
        <v>4094</v>
      </c>
      <c r="H219" s="37" t="s">
        <v>289</v>
      </c>
    </row>
    <row r="220" customFormat="false" ht="15" hidden="false" customHeight="true" outlineLevel="0" collapsed="false">
      <c r="B220" s="51" t="s">
        <v>290</v>
      </c>
      <c r="D220" s="12" t="n">
        <f aca="false">D109+D122</f>
        <v>519.25</v>
      </c>
      <c r="E220" s="12" t="n">
        <f aca="false">E109+E122</f>
        <v>396.38</v>
      </c>
      <c r="F220" s="12" t="n">
        <f aca="false">F109+F122</f>
        <v>321.21</v>
      </c>
      <c r="G220" s="12" t="n">
        <f aca="false">G109+G122</f>
        <v>1057.25</v>
      </c>
      <c r="H220" s="37" t="s">
        <v>291</v>
      </c>
    </row>
    <row r="221" customFormat="false" ht="15" hidden="false" customHeight="true" outlineLevel="0" collapsed="false">
      <c r="B221" s="51" t="s">
        <v>292</v>
      </c>
      <c r="D221" s="12" t="n">
        <f aca="false">D111+D124</f>
        <v>158.89</v>
      </c>
      <c r="E221" s="12" t="n">
        <f aca="false">E111+E124</f>
        <v>236.53</v>
      </c>
      <c r="F221" s="12" t="n">
        <f aca="false">F111+F124</f>
        <v>171.99</v>
      </c>
      <c r="G221" s="12" t="n">
        <f aca="false">G111+G124</f>
        <v>219.99</v>
      </c>
      <c r="H221" s="37" t="s">
        <v>293</v>
      </c>
    </row>
    <row r="222" customFormat="false" ht="15" hidden="false" customHeight="true" outlineLevel="0" collapsed="false">
      <c r="B222" s="51" t="s">
        <v>294</v>
      </c>
      <c r="D222" s="12" t="n">
        <f aca="false">D64+D65+D66</f>
        <v>2681.07</v>
      </c>
      <c r="E222" s="12" t="n">
        <f aca="false">E64+E65+E66</f>
        <v>2826.12</v>
      </c>
      <c r="F222" s="12" t="n">
        <f aca="false">F64+F65+F66</f>
        <v>2770.14</v>
      </c>
      <c r="G222" s="12" t="n">
        <f aca="false">G64+G65+G66</f>
        <v>3399.34</v>
      </c>
      <c r="H222" s="37" t="s">
        <v>295</v>
      </c>
    </row>
    <row r="223" customFormat="false" ht="15" hidden="false" customHeight="true" outlineLevel="0" collapsed="false">
      <c r="B223" s="51" t="s">
        <v>296</v>
      </c>
      <c r="D223" s="12" t="n">
        <f aca="false">D71+D81</f>
        <v>2847.85</v>
      </c>
      <c r="E223" s="12" t="n">
        <f aca="false">E71+E81</f>
        <v>3620.19</v>
      </c>
      <c r="F223" s="12" t="n">
        <f aca="false">F71+F81</f>
        <v>3458.23</v>
      </c>
      <c r="G223" s="12" t="n">
        <f aca="false">G71+G81</f>
        <v>4038.09</v>
      </c>
      <c r="H223" s="37" t="s">
        <v>297</v>
      </c>
    </row>
    <row r="224" customFormat="false" ht="15" hidden="false" customHeight="true" outlineLevel="0" collapsed="false">
      <c r="B224" s="51" t="s">
        <v>298</v>
      </c>
      <c r="D224" s="12" t="n">
        <f aca="false">D73+D86</f>
        <v>4689</v>
      </c>
      <c r="E224" s="12" t="n">
        <f aca="false">E73+E86</f>
        <v>5225.4</v>
      </c>
      <c r="F224" s="12" t="n">
        <f aca="false">F73+F86</f>
        <v>7095.76</v>
      </c>
      <c r="G224" s="12" t="n">
        <f aca="false">G73+G86</f>
        <v>7731.5</v>
      </c>
      <c r="H224" s="37" t="s">
        <v>299</v>
      </c>
    </row>
    <row r="225" customFormat="false" ht="15" hidden="false" customHeight="true" outlineLevel="0" collapsed="false">
      <c r="B225" s="51" t="s">
        <v>300</v>
      </c>
      <c r="D225" s="12" t="n">
        <f aca="false">D82+D83</f>
        <v>377.44</v>
      </c>
      <c r="E225" s="12" t="n">
        <f aca="false">E82+E83</f>
        <v>666.26</v>
      </c>
      <c r="F225" s="12" t="n">
        <f aca="false">F82+F83</f>
        <v>770.56</v>
      </c>
      <c r="G225" s="12" t="n">
        <f aca="false">G82+G83</f>
        <v>885.89</v>
      </c>
      <c r="H225" s="37" t="s">
        <v>301</v>
      </c>
    </row>
    <row r="226" customFormat="false" ht="15" hidden="false" customHeight="true" outlineLevel="0" collapsed="false">
      <c r="B226" s="51" t="s">
        <v>302</v>
      </c>
      <c r="D226" s="12" t="n">
        <f aca="false">D72+D85</f>
        <v>764.23</v>
      </c>
      <c r="E226" s="12" t="n">
        <f aca="false">E72+E85</f>
        <v>919.33</v>
      </c>
      <c r="F226" s="12" t="n">
        <f aca="false">F72+F85</f>
        <v>651.23</v>
      </c>
      <c r="G226" s="12" t="n">
        <f aca="false">G72+G85</f>
        <v>638.74</v>
      </c>
      <c r="H226" s="37" t="s">
        <v>303</v>
      </c>
    </row>
    <row r="227" customFormat="false" ht="15" hidden="false" customHeight="true" outlineLevel="0" collapsed="false">
      <c r="B227" s="51" t="s">
        <v>304</v>
      </c>
      <c r="D227" s="12" t="n">
        <f aca="false">D75+D87</f>
        <v>1272.46</v>
      </c>
      <c r="E227" s="12" t="n">
        <f aca="false">E75+E87</f>
        <v>1232.8</v>
      </c>
      <c r="F227" s="12" t="n">
        <f aca="false">F75+F87</f>
        <v>1292.21</v>
      </c>
      <c r="G227" s="12" t="n">
        <f aca="false">G75+G87</f>
        <v>1289.31</v>
      </c>
      <c r="H227" s="37" t="s">
        <v>305</v>
      </c>
    </row>
    <row r="228" customFormat="false" ht="15" hidden="false" customHeight="true" outlineLevel="0" collapsed="false">
      <c r="B228" s="51" t="s">
        <v>306</v>
      </c>
      <c r="D228" s="12" t="n">
        <f aca="false">D216-D225</f>
        <v>1185.39</v>
      </c>
      <c r="E228" s="12" t="n">
        <f aca="false">E216-E225</f>
        <v>1788.75</v>
      </c>
      <c r="F228" s="12" t="n">
        <f aca="false">F216-F225</f>
        <v>1465.16</v>
      </c>
      <c r="G228" s="12" t="n">
        <f aca="false">G216-G225</f>
        <v>2652.38</v>
      </c>
      <c r="H228" s="37" t="s">
        <v>307</v>
      </c>
    </row>
    <row r="229" customFormat="false" ht="15" hidden="false" customHeight="true" outlineLevel="0" collapsed="false">
      <c r="B229" s="51" t="s">
        <v>308</v>
      </c>
      <c r="D229" s="12" t="n">
        <f aca="false">D97</f>
        <v>3175.69</v>
      </c>
      <c r="E229" s="12" t="n">
        <f aca="false">E97</f>
        <v>3595.95</v>
      </c>
      <c r="F229" s="12" t="n">
        <f aca="false">F97</f>
        <v>5260.52</v>
      </c>
      <c r="G229" s="12" t="n">
        <f aca="false">G97</f>
        <v>5449.8</v>
      </c>
      <c r="H229" s="37" t="s">
        <v>309</v>
      </c>
    </row>
    <row r="230" customFormat="false" ht="15" hidden="false" customHeight="true" outlineLevel="0" collapsed="false">
      <c r="B230" s="51" t="s">
        <v>310</v>
      </c>
      <c r="D230" s="12" t="n">
        <f aca="false">D81+D86+D79-D120-D121-D123-D126</f>
        <v>411.06</v>
      </c>
      <c r="E230" s="12" t="n">
        <f aca="false">E81+E86+E79-E120-E121-E123-E126</f>
        <v>1291.81</v>
      </c>
      <c r="F230" s="12" t="n">
        <f aca="false">F81+F86+F79-F120-F121-F123-F126</f>
        <v>3049.71</v>
      </c>
      <c r="G230" s="12" t="n">
        <f aca="false">G81+G86+G79-G120-G121-G123-G126</f>
        <v>4556.76</v>
      </c>
      <c r="H230" s="37" t="s">
        <v>311</v>
      </c>
    </row>
    <row r="231" customFormat="false" ht="15" hidden="false" customHeight="true" outlineLevel="0" collapsed="false">
      <c r="B231" s="51" t="s">
        <v>312</v>
      </c>
      <c r="D231" s="12" t="n">
        <f aca="false">D230*365/D8</f>
        <v>11.872468818695</v>
      </c>
      <c r="E231" s="12" t="n">
        <f aca="false">E230*365/E8</f>
        <v>35.5387714339551</v>
      </c>
      <c r="F231" s="12" t="n">
        <f aca="false">F230*365/F8</f>
        <v>88.7079130280944</v>
      </c>
      <c r="G231" s="12" t="n">
        <f aca="false">G230*365/G8</f>
        <v>139.200243045501</v>
      </c>
      <c r="H231" s="37" t="s">
        <v>313</v>
      </c>
    </row>
    <row r="233" customFormat="false" ht="15" hidden="false" customHeight="true" outlineLevel="0" collapsed="false">
      <c r="B233" s="34" t="s">
        <v>314</v>
      </c>
    </row>
    <row r="234" customFormat="false" ht="15" hidden="false" customHeight="true" outlineLevel="0" collapsed="false">
      <c r="B234" s="51" t="s">
        <v>315</v>
      </c>
      <c r="D234" s="12" t="n">
        <f aca="false">D172</f>
        <v>1215.45</v>
      </c>
      <c r="E234" s="12" t="n">
        <f aca="false">E172</f>
        <v>707.1</v>
      </c>
      <c r="F234" s="12" t="n">
        <f aca="false">F172</f>
        <v>-132.2</v>
      </c>
      <c r="G234" s="12" t="n">
        <f aca="false">G172</f>
        <v>-127.49</v>
      </c>
      <c r="H234" s="37" t="s">
        <v>316</v>
      </c>
    </row>
    <row r="235" customFormat="false" ht="15" hidden="false" customHeight="true" outlineLevel="0" collapsed="false">
      <c r="B235" s="51" t="s">
        <v>317</v>
      </c>
      <c r="D235" s="12" t="n">
        <f aca="false">D181</f>
        <v>-870.19</v>
      </c>
      <c r="E235" s="12" t="n">
        <f aca="false">E181</f>
        <v>-858.56</v>
      </c>
      <c r="F235" s="12" t="n">
        <f aca="false">F181</f>
        <v>-131.35</v>
      </c>
      <c r="G235" s="12" t="n">
        <f aca="false">G181</f>
        <v>-401.72</v>
      </c>
      <c r="H235" s="37" t="s">
        <v>318</v>
      </c>
    </row>
    <row r="236" customFormat="false" ht="15" hidden="false" customHeight="true" outlineLevel="0" collapsed="false">
      <c r="B236" s="51" t="s">
        <v>319</v>
      </c>
      <c r="D236" s="12" t="n">
        <f aca="false">D193</f>
        <v>-482.53</v>
      </c>
      <c r="E236" s="12" t="n">
        <f aca="false">E193</f>
        <v>245.52</v>
      </c>
      <c r="F236" s="12" t="n">
        <f aca="false">F193</f>
        <v>289.94</v>
      </c>
      <c r="G236" s="12" t="n">
        <f aca="false">G193</f>
        <v>472.92</v>
      </c>
      <c r="H236" s="37" t="s">
        <v>320</v>
      </c>
    </row>
    <row r="237" customFormat="false" ht="15" hidden="false" customHeight="true" outlineLevel="0" collapsed="false">
      <c r="B237" s="51" t="s">
        <v>321</v>
      </c>
      <c r="D237" s="12" t="n">
        <f aca="false">SUM(D160:D169)</f>
        <v>-101.22</v>
      </c>
      <c r="E237" s="12" t="n">
        <f aca="false">SUM(E160:E169)</f>
        <v>-675.9</v>
      </c>
      <c r="F237" s="12" t="n">
        <f aca="false">SUM(F160:F169)</f>
        <v>-1522.81</v>
      </c>
      <c r="G237" s="12" t="n">
        <f aca="false">SUM(G160:G169)</f>
        <v>-1592.2</v>
      </c>
      <c r="H237" s="37" t="s">
        <v>322</v>
      </c>
    </row>
    <row r="238" customFormat="false" ht="15" hidden="false" customHeight="true" outlineLevel="0" collapsed="false">
      <c r="B238" s="51" t="s">
        <v>323</v>
      </c>
      <c r="D238" s="12" t="n">
        <f aca="false">D175</f>
        <v>-918.96</v>
      </c>
      <c r="E238" s="12" t="n">
        <f aca="false">E175</f>
        <v>-716.4</v>
      </c>
      <c r="F238" s="12" t="n">
        <f aca="false">F175</f>
        <v>-344.49</v>
      </c>
      <c r="G238" s="12" t="n">
        <f aca="false">G175</f>
        <v>-371.79</v>
      </c>
      <c r="H238" s="37" t="s">
        <v>324</v>
      </c>
    </row>
    <row r="241" customFormat="false" ht="19.5" hidden="false" customHeight="true" outlineLevel="0" collapsed="false">
      <c r="B241" s="4" t="s">
        <v>325</v>
      </c>
      <c r="C241" s="4"/>
      <c r="D241" s="4"/>
      <c r="E241" s="4"/>
      <c r="F241" s="4"/>
      <c r="G241" s="4"/>
      <c r="H241" s="4"/>
    </row>
    <row r="242" customFormat="false" ht="15" hidden="false" customHeight="true" outlineLevel="0" collapsed="false">
      <c r="D242" s="16" t="s">
        <v>13</v>
      </c>
      <c r="E242" s="16" t="s">
        <v>14</v>
      </c>
      <c r="F242" s="16" t="s">
        <v>15</v>
      </c>
      <c r="G242" s="16" t="s">
        <v>16</v>
      </c>
      <c r="H242" s="16" t="s">
        <v>76</v>
      </c>
    </row>
    <row r="243" customFormat="false" ht="15" hidden="false" customHeight="true" outlineLevel="0" collapsed="false">
      <c r="B243" s="51" t="s">
        <v>326</v>
      </c>
      <c r="D243" s="36" t="n">
        <v>30406</v>
      </c>
      <c r="E243" s="36" t="n">
        <v>30961</v>
      </c>
      <c r="F243" s="36" t="n">
        <v>36868.61</v>
      </c>
      <c r="G243" s="36" t="n">
        <v>32495.65</v>
      </c>
      <c r="H243" s="37" t="s">
        <v>327</v>
      </c>
    </row>
    <row r="244" customFormat="false" ht="15" hidden="false" customHeight="true" outlineLevel="0" collapsed="false">
      <c r="B244" s="51" t="s">
        <v>328</v>
      </c>
      <c r="D244" s="36" t="n">
        <v>21999</v>
      </c>
      <c r="E244" s="36" t="n">
        <v>22387</v>
      </c>
      <c r="F244" s="36" t="n">
        <v>31877.44</v>
      </c>
      <c r="G244" s="36" t="n">
        <v>28365.12</v>
      </c>
      <c r="H244" s="37" t="s">
        <v>329</v>
      </c>
    </row>
    <row r="245" customFormat="false" ht="15" hidden="false" customHeight="true" outlineLevel="0" collapsed="false">
      <c r="B245" s="51" t="s">
        <v>330</v>
      </c>
      <c r="D245" s="36" t="n">
        <v>8407</v>
      </c>
      <c r="E245" s="36" t="n">
        <v>8574</v>
      </c>
      <c r="F245" s="36" t="n">
        <v>4991.17</v>
      </c>
      <c r="G245" s="36" t="n">
        <v>4130.53</v>
      </c>
      <c r="H245" s="37" t="s">
        <v>329</v>
      </c>
    </row>
    <row r="246" customFormat="false" ht="15" hidden="false" customHeight="true" outlineLevel="0" collapsed="false">
      <c r="B246" s="51" t="s">
        <v>331</v>
      </c>
      <c r="D246" s="52" t="n">
        <f aca="false">D244/D243</f>
        <v>0.723508518055647</v>
      </c>
      <c r="E246" s="52" t="n">
        <f aca="false">E244/E243</f>
        <v>0.723070960240302</v>
      </c>
      <c r="F246" s="52" t="n">
        <f aca="false">F244/F243</f>
        <v>0.864622778021737</v>
      </c>
      <c r="G246" s="52" t="n">
        <f aca="false">G244/G243</f>
        <v>0.872889756013497</v>
      </c>
      <c r="H246" s="37" t="s">
        <v>332</v>
      </c>
    </row>
    <row r="247" customFormat="false" ht="15" hidden="false" customHeight="true" outlineLevel="0" collapsed="false">
      <c r="B247" s="51" t="s">
        <v>333</v>
      </c>
      <c r="D247" s="52" t="n">
        <f aca="false">D245/D243</f>
        <v>0.276491481944353</v>
      </c>
      <c r="E247" s="52" t="n">
        <f aca="false">E245/E243</f>
        <v>0.276929039759698</v>
      </c>
      <c r="F247" s="52" t="n">
        <f aca="false">F245/F243</f>
        <v>0.135377221978263</v>
      </c>
      <c r="G247" s="52" t="n">
        <f aca="false">G245/G243</f>
        <v>0.127110243986503</v>
      </c>
      <c r="H247" s="37" t="s">
        <v>332</v>
      </c>
    </row>
    <row r="248" customFormat="false" ht="15" hidden="false" customHeight="true" outlineLevel="0" collapsed="false">
      <c r="B248" s="51" t="s">
        <v>334</v>
      </c>
      <c r="D248" s="36" t="n">
        <v>7924</v>
      </c>
      <c r="E248" s="36" t="n">
        <v>7784</v>
      </c>
      <c r="F248" s="36" t="n">
        <v>15960.42</v>
      </c>
      <c r="G248" s="36" t="n">
        <v>4125</v>
      </c>
      <c r="H248" s="37" t="s">
        <v>335</v>
      </c>
    </row>
    <row r="249" customFormat="false" ht="15" hidden="false" customHeight="true" outlineLevel="0" collapsed="false">
      <c r="B249" s="51" t="s">
        <v>336</v>
      </c>
      <c r="D249" s="53" t="n">
        <f aca="false">D243/D8</f>
        <v>2.4060366943148</v>
      </c>
      <c r="E249" s="53" t="n">
        <f aca="false">E243/E8</f>
        <v>2.3335971358583</v>
      </c>
      <c r="F249" s="53" t="n">
        <f aca="false">F243/F8</f>
        <v>2.93810774583573</v>
      </c>
      <c r="G249" s="53" t="n">
        <f aca="false">G243/G8</f>
        <v>2.7196699468882</v>
      </c>
      <c r="H249" s="37" t="s">
        <v>337</v>
      </c>
    </row>
    <row r="250" customFormat="false" ht="15" hidden="false" customHeight="true" outlineLevel="0" collapsed="false">
      <c r="B250" s="51" t="s">
        <v>338</v>
      </c>
      <c r="D250" s="54" t="n">
        <v>0.32</v>
      </c>
      <c r="E250" s="54" t="n">
        <v>0.25</v>
      </c>
      <c r="F250" s="54" t="n">
        <v>0.3069</v>
      </c>
      <c r="G250" s="54" t="n">
        <v>0.2803</v>
      </c>
      <c r="H250" s="37" t="s">
        <v>339</v>
      </c>
    </row>
    <row r="252" customFormat="false" ht="15" hidden="false" customHeight="true" outlineLevel="0" collapsed="false">
      <c r="B252" s="40" t="s">
        <v>340</v>
      </c>
      <c r="C252" s="41"/>
      <c r="D252" s="41"/>
      <c r="E252" s="41"/>
      <c r="F252" s="41"/>
      <c r="G252" s="41"/>
      <c r="H252" s="41"/>
    </row>
    <row r="253" customFormat="false" ht="15" hidden="false" customHeight="true" outlineLevel="0" collapsed="false">
      <c r="B253" s="51" t="s">
        <v>341</v>
      </c>
      <c r="D253" s="55" t="n">
        <v>0.0957</v>
      </c>
      <c r="E253" s="55" t="n">
        <v>0.0986</v>
      </c>
      <c r="F253" s="55" t="n">
        <v>0.12</v>
      </c>
      <c r="G253" s="55" t="n">
        <v>0.15</v>
      </c>
      <c r="H253" s="37" t="s">
        <v>342</v>
      </c>
    </row>
    <row r="254" customFormat="false" ht="15" hidden="false" customHeight="true" outlineLevel="0" collapsed="false">
      <c r="B254" s="51" t="s">
        <v>343</v>
      </c>
      <c r="D254" s="55" t="n">
        <v>0.1311</v>
      </c>
      <c r="E254" s="55" t="n">
        <v>0.1078</v>
      </c>
      <c r="F254" s="55" t="n">
        <v>0.05</v>
      </c>
      <c r="G254" s="55" t="n">
        <v>0.09</v>
      </c>
      <c r="H254" s="37" t="s">
        <v>342</v>
      </c>
    </row>
    <row r="255" customFormat="false" ht="15" hidden="false" customHeight="true" outlineLevel="0" collapsed="false">
      <c r="B255" s="51" t="s">
        <v>344</v>
      </c>
      <c r="D255" s="55" t="n">
        <v>0.2554</v>
      </c>
      <c r="E255" s="55" t="n">
        <v>0.369</v>
      </c>
      <c r="F255" s="55" t="n">
        <v>0.33</v>
      </c>
      <c r="G255" s="55" t="n">
        <v>0.28</v>
      </c>
      <c r="H255" s="37" t="s">
        <v>342</v>
      </c>
    </row>
    <row r="256" customFormat="false" ht="15" hidden="false" customHeight="true" outlineLevel="0" collapsed="false">
      <c r="B256" s="51" t="s">
        <v>345</v>
      </c>
      <c r="D256" s="55" t="n">
        <v>0.1629</v>
      </c>
      <c r="E256" s="55" t="n">
        <v>0.1264</v>
      </c>
      <c r="F256" s="55" t="n">
        <v>0.22</v>
      </c>
      <c r="G256" s="55" t="n">
        <v>0.23</v>
      </c>
      <c r="H256" s="37" t="s">
        <v>342</v>
      </c>
    </row>
    <row r="257" customFormat="false" ht="15" hidden="false" customHeight="true" outlineLevel="0" collapsed="false">
      <c r="B257" s="51" t="s">
        <v>346</v>
      </c>
      <c r="D257" s="55" t="n">
        <v>0.281</v>
      </c>
      <c r="E257" s="55" t="n">
        <v>0.2364</v>
      </c>
      <c r="F257" s="55" t="n">
        <v>0.24</v>
      </c>
      <c r="G257" s="55" t="n">
        <v>0.23</v>
      </c>
      <c r="H257" s="37" t="s">
        <v>342</v>
      </c>
    </row>
    <row r="258" customFormat="false" ht="15" hidden="false" customHeight="true" outlineLevel="0" collapsed="false">
      <c r="B258" s="51" t="s">
        <v>347</v>
      </c>
      <c r="D258" s="55" t="n">
        <v>0.0739</v>
      </c>
      <c r="E258" s="55" t="n">
        <v>0.0618</v>
      </c>
      <c r="F258" s="55" t="n">
        <v>0.04</v>
      </c>
      <c r="G258" s="55" t="n">
        <v>0.02</v>
      </c>
      <c r="H258" s="37" t="s">
        <v>342</v>
      </c>
    </row>
    <row r="260" customFormat="false" ht="15" hidden="false" customHeight="true" outlineLevel="0" collapsed="false">
      <c r="B260" s="17" t="s">
        <v>348</v>
      </c>
      <c r="D260" s="56" t="n">
        <f aca="false">SUM(D253:D258)</f>
        <v>1</v>
      </c>
      <c r="E260" s="56" t="n">
        <f aca="false">SUM(E253:E258)</f>
        <v>1</v>
      </c>
      <c r="F260" s="56" t="n">
        <f aca="false">SUM(F253:F258)</f>
        <v>1</v>
      </c>
      <c r="G260" s="56" t="n">
        <f aca="false">SUM(G253:G258)</f>
        <v>1</v>
      </c>
    </row>
  </sheetData>
  <mergeCells count="5">
    <mergeCell ref="B6:H6"/>
    <mergeCell ref="B60:H60"/>
    <mergeCell ref="B140:H140"/>
    <mergeCell ref="B207:H207"/>
    <mergeCell ref="B241:H2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40"/>
    <col collapsed="false" customWidth="true" hidden="false" outlineLevel="0" max="3" min="3" style="1" width="5"/>
    <col collapsed="false" customWidth="true" hidden="false" outlineLevel="0" max="7" min="4" style="1" width="12"/>
    <col collapsed="false" customWidth="true" hidden="false" outlineLevel="0" max="8" min="8" style="1" width="38"/>
  </cols>
  <sheetData>
    <row r="2" customFormat="false" ht="17.25" hidden="false" customHeight="true" outlineLevel="0" collapsed="false">
      <c r="B2" s="32" t="s">
        <v>349</v>
      </c>
    </row>
    <row r="3" customFormat="false" ht="15" hidden="false" customHeight="true" outlineLevel="0" collapsed="false">
      <c r="B3" s="33" t="s">
        <v>350</v>
      </c>
    </row>
    <row r="5" customFormat="false" ht="15" hidden="false" customHeight="true" outlineLevel="0" collapsed="false">
      <c r="D5" s="16" t="s">
        <v>16</v>
      </c>
      <c r="E5" s="16" t="s">
        <v>17</v>
      </c>
      <c r="F5" s="16" t="s">
        <v>18</v>
      </c>
      <c r="G5" s="16" t="s">
        <v>19</v>
      </c>
      <c r="H5" s="16" t="s">
        <v>351</v>
      </c>
    </row>
    <row r="6" customFormat="false" ht="19.5" hidden="false" customHeight="true" outlineLevel="0" collapsed="false">
      <c r="B6" s="4" t="s">
        <v>352</v>
      </c>
      <c r="C6" s="4"/>
      <c r="D6" s="4"/>
      <c r="E6" s="4"/>
      <c r="F6" s="4"/>
      <c r="G6" s="4"/>
      <c r="H6" s="4"/>
    </row>
    <row r="8" customFormat="false" ht="15" hidden="false" customHeight="true" outlineLevel="0" collapsed="false">
      <c r="B8" s="9" t="s">
        <v>353</v>
      </c>
      <c r="D8" s="57"/>
      <c r="E8" s="58" t="n">
        <v>0.12</v>
      </c>
      <c r="F8" s="58" t="n">
        <v>0.18</v>
      </c>
      <c r="G8" s="58" t="n">
        <v>0.15</v>
      </c>
      <c r="H8" s="37" t="s">
        <v>354</v>
      </c>
    </row>
    <row r="9" customFormat="false" ht="15" hidden="false" customHeight="true" outlineLevel="0" collapsed="false">
      <c r="B9" s="7" t="s">
        <v>355</v>
      </c>
      <c r="D9" s="59" t="n">
        <f aca="false">Historicals!G243</f>
        <v>32495.65</v>
      </c>
      <c r="E9" s="15" t="n">
        <f aca="false">D9*(1+E8)</f>
        <v>36395.128</v>
      </c>
      <c r="F9" s="15" t="n">
        <f aca="false">E9*(1+F8)</f>
        <v>42946.25104</v>
      </c>
      <c r="G9" s="15" t="n">
        <f aca="false">F9*(1+G8)</f>
        <v>49388.188696</v>
      </c>
    </row>
    <row r="11" customFormat="false" ht="15" hidden="false" customHeight="true" outlineLevel="0" collapsed="false">
      <c r="B11" s="40" t="s">
        <v>356</v>
      </c>
      <c r="C11" s="41"/>
      <c r="D11" s="41"/>
      <c r="E11" s="41"/>
      <c r="F11" s="41"/>
      <c r="G11" s="41"/>
      <c r="H11" s="41"/>
    </row>
    <row r="12" customFormat="false" ht="15" hidden="false" customHeight="true" outlineLevel="0" collapsed="false">
      <c r="B12" s="51" t="s">
        <v>341</v>
      </c>
      <c r="D12" s="60" t="n">
        <f aca="false">Historicals!G253</f>
        <v>0.15</v>
      </c>
      <c r="E12" s="61" t="n">
        <v>0.15</v>
      </c>
      <c r="F12" s="61" t="n">
        <v>0.14</v>
      </c>
      <c r="G12" s="61" t="n">
        <v>0.13</v>
      </c>
      <c r="H12" s="37" t="s">
        <v>357</v>
      </c>
    </row>
    <row r="13" customFormat="false" ht="15" hidden="false" customHeight="true" outlineLevel="0" collapsed="false">
      <c r="B13" s="51" t="s">
        <v>343</v>
      </c>
      <c r="D13" s="60" t="n">
        <f aca="false">Historicals!G254</f>
        <v>0.09</v>
      </c>
      <c r="E13" s="61" t="n">
        <v>0.09</v>
      </c>
      <c r="F13" s="61" t="n">
        <v>0.1</v>
      </c>
      <c r="G13" s="61" t="n">
        <v>0.1</v>
      </c>
      <c r="H13" s="37" t="s">
        <v>358</v>
      </c>
    </row>
    <row r="14" customFormat="false" ht="15" hidden="false" customHeight="true" outlineLevel="0" collapsed="false">
      <c r="B14" s="51" t="s">
        <v>344</v>
      </c>
      <c r="D14" s="60" t="n">
        <f aca="false">Historicals!G255</f>
        <v>0.28</v>
      </c>
      <c r="E14" s="61" t="n">
        <v>0.28</v>
      </c>
      <c r="F14" s="61" t="n">
        <v>0.29</v>
      </c>
      <c r="G14" s="61" t="n">
        <v>0.3</v>
      </c>
      <c r="H14" s="37" t="s">
        <v>359</v>
      </c>
    </row>
    <row r="15" customFormat="false" ht="15" hidden="false" customHeight="true" outlineLevel="0" collapsed="false">
      <c r="B15" s="51" t="s">
        <v>345</v>
      </c>
      <c r="D15" s="60" t="n">
        <f aca="false">Historicals!G256</f>
        <v>0.23</v>
      </c>
      <c r="E15" s="61" t="n">
        <v>0.23</v>
      </c>
      <c r="F15" s="61" t="n">
        <v>0.23</v>
      </c>
      <c r="G15" s="61" t="n">
        <v>0.23</v>
      </c>
      <c r="H15" s="37" t="s">
        <v>360</v>
      </c>
    </row>
    <row r="16" customFormat="false" ht="15" hidden="false" customHeight="true" outlineLevel="0" collapsed="false">
      <c r="B16" s="51" t="s">
        <v>346</v>
      </c>
      <c r="D16" s="60" t="n">
        <f aca="false">Historicals!G257</f>
        <v>0.23</v>
      </c>
      <c r="E16" s="61" t="n">
        <v>0.23</v>
      </c>
      <c r="F16" s="61" t="n">
        <v>0.22</v>
      </c>
      <c r="G16" s="61" t="n">
        <v>0.22</v>
      </c>
      <c r="H16" s="37" t="s">
        <v>361</v>
      </c>
    </row>
    <row r="17" customFormat="false" ht="15" hidden="false" customHeight="true" outlineLevel="0" collapsed="false">
      <c r="B17" s="51" t="s">
        <v>347</v>
      </c>
      <c r="D17" s="60" t="n">
        <f aca="false">Historicals!G258</f>
        <v>0.02</v>
      </c>
      <c r="E17" s="61" t="n">
        <v>0.02</v>
      </c>
      <c r="F17" s="61" t="n">
        <v>0.02</v>
      </c>
      <c r="G17" s="61" t="n">
        <v>0.02</v>
      </c>
      <c r="H17" s="37" t="s">
        <v>362</v>
      </c>
    </row>
    <row r="18" customFormat="false" ht="15" hidden="false" customHeight="true" outlineLevel="0" collapsed="false">
      <c r="B18" s="17" t="s">
        <v>348</v>
      </c>
      <c r="D18" s="62" t="n">
        <f aca="false">SUM(D12:D17)</f>
        <v>1</v>
      </c>
      <c r="E18" s="62" t="n">
        <f aca="false">SUM(E12:E17)</f>
        <v>1</v>
      </c>
      <c r="F18" s="62" t="n">
        <f aca="false">SUM(F12:F17)</f>
        <v>1</v>
      </c>
      <c r="G18" s="62" t="n">
        <f aca="false">SUM(G12:G17)</f>
        <v>1</v>
      </c>
    </row>
    <row r="20" customFormat="false" ht="19.5" hidden="false" customHeight="true" outlineLevel="0" collapsed="false">
      <c r="B20" s="4" t="s">
        <v>363</v>
      </c>
      <c r="C20" s="4"/>
      <c r="D20" s="4"/>
      <c r="E20" s="4"/>
      <c r="F20" s="4"/>
      <c r="G20" s="4"/>
      <c r="H20" s="4"/>
    </row>
    <row r="22" customFormat="false" ht="15" hidden="false" customHeight="true" outlineLevel="0" collapsed="false">
      <c r="B22" s="63" t="s">
        <v>364</v>
      </c>
      <c r="D22" s="64" t="n">
        <f aca="false">Historicals!G8/Historicals!F243</f>
        <v>0.324080023629857</v>
      </c>
      <c r="H22" s="37" t="s">
        <v>365</v>
      </c>
    </row>
    <row r="24" customFormat="false" ht="15" hidden="false" customHeight="true" outlineLevel="0" collapsed="false">
      <c r="B24" s="40" t="s">
        <v>366</v>
      </c>
      <c r="C24" s="41"/>
      <c r="D24" s="41"/>
      <c r="E24" s="41"/>
      <c r="F24" s="41"/>
      <c r="G24" s="41"/>
      <c r="H24" s="41"/>
    </row>
    <row r="25" customFormat="false" ht="15" hidden="false" customHeight="true" outlineLevel="0" collapsed="false">
      <c r="B25" s="51" t="s">
        <v>341</v>
      </c>
      <c r="E25" s="61" t="n">
        <v>-0.03</v>
      </c>
      <c r="F25" s="61" t="n">
        <v>0.01</v>
      </c>
      <c r="G25" s="61" t="n">
        <v>0.02</v>
      </c>
      <c r="H25" s="37" t="s">
        <v>367</v>
      </c>
    </row>
    <row r="26" customFormat="false" ht="15" hidden="false" customHeight="true" outlineLevel="0" collapsed="false">
      <c r="B26" s="51" t="s">
        <v>343</v>
      </c>
      <c r="E26" s="61" t="n">
        <v>-0.02</v>
      </c>
      <c r="F26" s="61" t="n">
        <v>0</v>
      </c>
      <c r="G26" s="61" t="n">
        <v>0.01</v>
      </c>
      <c r="H26" s="37" t="s">
        <v>368</v>
      </c>
    </row>
    <row r="27" customFormat="false" ht="15" hidden="false" customHeight="true" outlineLevel="0" collapsed="false">
      <c r="B27" s="51" t="s">
        <v>344</v>
      </c>
      <c r="E27" s="61" t="n">
        <v>-0.01</v>
      </c>
      <c r="F27" s="61" t="n">
        <v>0.01</v>
      </c>
      <c r="G27" s="61" t="n">
        <v>0.02</v>
      </c>
      <c r="H27" s="37" t="s">
        <v>369</v>
      </c>
    </row>
    <row r="28" customFormat="false" ht="15" hidden="false" customHeight="true" outlineLevel="0" collapsed="false">
      <c r="B28" s="51" t="s">
        <v>345</v>
      </c>
      <c r="E28" s="61" t="n">
        <v>-0.01</v>
      </c>
      <c r="F28" s="61" t="n">
        <v>0.01</v>
      </c>
      <c r="G28" s="61" t="n">
        <v>0.02</v>
      </c>
      <c r="H28" s="37" t="s">
        <v>370</v>
      </c>
    </row>
    <row r="29" customFormat="false" ht="15" hidden="false" customHeight="true" outlineLevel="0" collapsed="false">
      <c r="B29" s="51" t="s">
        <v>346</v>
      </c>
      <c r="E29" s="61" t="n">
        <v>-0.02</v>
      </c>
      <c r="F29" s="61" t="n">
        <v>0.01</v>
      </c>
      <c r="G29" s="61" t="n">
        <v>0.02</v>
      </c>
      <c r="H29" s="37" t="s">
        <v>371</v>
      </c>
    </row>
    <row r="30" customFormat="false" ht="15" hidden="false" customHeight="true" outlineLevel="0" collapsed="false">
      <c r="B30" s="51" t="s">
        <v>347</v>
      </c>
      <c r="E30" s="61" t="n">
        <v>0</v>
      </c>
      <c r="F30" s="61" t="n">
        <v>0</v>
      </c>
      <c r="G30" s="61" t="n">
        <v>0.01</v>
      </c>
      <c r="H30" s="37" t="s">
        <v>372</v>
      </c>
    </row>
    <row r="32" customFormat="false" ht="15" hidden="false" customHeight="true" outlineLevel="0" collapsed="false">
      <c r="B32" s="40" t="s">
        <v>373</v>
      </c>
      <c r="C32" s="41"/>
      <c r="D32" s="41"/>
      <c r="E32" s="41"/>
      <c r="F32" s="41"/>
      <c r="G32" s="41"/>
      <c r="H32" s="41"/>
    </row>
    <row r="33" customFormat="false" ht="15" hidden="false" customHeight="true" outlineLevel="0" collapsed="false">
      <c r="B33" s="65" t="s">
        <v>374</v>
      </c>
      <c r="E33" s="66" t="n">
        <f aca="false">SUMPRODUCT(E25:E30,D12:D17)</f>
        <v>-0.016</v>
      </c>
      <c r="F33" s="66" t="n">
        <f aca="false">SUMPRODUCT(F25:F30,E12:E17)</f>
        <v>0.0089</v>
      </c>
      <c r="G33" s="66" t="n">
        <f aca="false">SUMPRODUCT(G25:G30,F12:F17)</f>
        <v>0.0188</v>
      </c>
      <c r="H33" s="37" t="s">
        <v>375</v>
      </c>
    </row>
    <row r="35" customFormat="false" ht="15" hidden="false" customHeight="true" outlineLevel="0" collapsed="false">
      <c r="B35" s="22" t="s">
        <v>376</v>
      </c>
      <c r="D35" s="67" t="n">
        <f aca="false">D22</f>
        <v>0.324080023629857</v>
      </c>
      <c r="E35" s="24" t="n">
        <f aca="false">$D$22+E33</f>
        <v>0.308080023629857</v>
      </c>
      <c r="F35" s="24" t="n">
        <f aca="false">$D$22+F33</f>
        <v>0.332980023629857</v>
      </c>
      <c r="G35" s="24" t="n">
        <f aca="false">$D$22+G33</f>
        <v>0.342880023629857</v>
      </c>
      <c r="H35" s="37" t="s">
        <v>377</v>
      </c>
    </row>
    <row r="38" customFormat="false" ht="19.5" hidden="false" customHeight="true" outlineLevel="0" collapsed="false">
      <c r="B38" s="4" t="s">
        <v>378</v>
      </c>
      <c r="C38" s="4"/>
      <c r="D38" s="4"/>
      <c r="E38" s="4"/>
      <c r="F38" s="4"/>
      <c r="G38" s="4"/>
      <c r="H38" s="4"/>
    </row>
    <row r="40" customFormat="false" ht="15" hidden="false" customHeight="true" outlineLevel="0" collapsed="false">
      <c r="B40" s="7" t="s">
        <v>20</v>
      </c>
      <c r="D40" s="59" t="n">
        <f aca="false">Historicals!G8</f>
        <v>11948.38</v>
      </c>
      <c r="E40" s="15" t="n">
        <f aca="false">D9*E35</f>
        <v>10011.2606198676</v>
      </c>
      <c r="F40" s="15" t="n">
        <f aca="false">E9*F35</f>
        <v>12118.8505814517</v>
      </c>
      <c r="G40" s="15" t="n">
        <f aca="false">F9*G35</f>
        <v>14725.411571409</v>
      </c>
      <c r="H40" s="37" t="s">
        <v>379</v>
      </c>
    </row>
    <row r="41" customFormat="false" ht="15" hidden="false" customHeight="true" outlineLevel="0" collapsed="false">
      <c r="B41" s="63" t="s">
        <v>380</v>
      </c>
      <c r="E41" s="68" t="n">
        <f aca="false">E40/D40-1</f>
        <v>-0.162124018497271</v>
      </c>
      <c r="F41" s="68" t="n">
        <f aca="false">F40/E40-1</f>
        <v>0.210521935409568</v>
      </c>
      <c r="G41" s="68" t="n">
        <f aca="false">G40/F40-1</f>
        <v>0.215083185689799</v>
      </c>
    </row>
    <row r="42" customFormat="false" ht="15" hidden="false" customHeight="true" outlineLevel="0" collapsed="false">
      <c r="B42" s="9" t="s">
        <v>381</v>
      </c>
      <c r="D42" s="14" t="n">
        <f aca="false">Historicals!G9</f>
        <v>373.72</v>
      </c>
      <c r="E42" s="13" t="n">
        <f aca="false">E40*0.03</f>
        <v>300.337818596027</v>
      </c>
      <c r="F42" s="13" t="n">
        <f aca="false">F40*0.03</f>
        <v>363.565517443551</v>
      </c>
      <c r="G42" s="13" t="n">
        <f aca="false">G40*0.03</f>
        <v>441.76234714227</v>
      </c>
      <c r="H42" s="37" t="s">
        <v>382</v>
      </c>
    </row>
    <row r="43" customFormat="false" ht="15" hidden="false" customHeight="true" outlineLevel="0" collapsed="false">
      <c r="B43" s="7" t="s">
        <v>82</v>
      </c>
      <c r="D43" s="15" t="n">
        <f aca="false">D40+D42</f>
        <v>12322.1</v>
      </c>
      <c r="E43" s="15" t="n">
        <f aca="false">E40+E42</f>
        <v>10311.5984384636</v>
      </c>
      <c r="F43" s="15" t="n">
        <f aca="false">F40+F42</f>
        <v>12482.4160988952</v>
      </c>
      <c r="G43" s="15" t="n">
        <f aca="false">G40+G42</f>
        <v>15167.1739185513</v>
      </c>
    </row>
    <row r="45" customFormat="false" ht="15" hidden="false" customHeight="true" outlineLevel="0" collapsed="false">
      <c r="B45" s="40" t="s">
        <v>383</v>
      </c>
      <c r="C45" s="41"/>
      <c r="D45" s="41"/>
      <c r="E45" s="41"/>
      <c r="F45" s="41"/>
      <c r="G45" s="41"/>
      <c r="H45" s="41"/>
    </row>
    <row r="46" customFormat="false" ht="15" hidden="false" customHeight="true" outlineLevel="0" collapsed="false">
      <c r="B46" s="51" t="s">
        <v>384</v>
      </c>
      <c r="D46" s="20" t="n">
        <f aca="false">Historicals!G11/Historicals!G8</f>
        <v>0</v>
      </c>
      <c r="E46" s="58" t="n">
        <v>0.245</v>
      </c>
      <c r="F46" s="58" t="n">
        <v>0.24</v>
      </c>
      <c r="G46" s="58" t="n">
        <v>0.24</v>
      </c>
      <c r="H46" s="37" t="s">
        <v>385</v>
      </c>
    </row>
    <row r="47" customFormat="false" ht="15" hidden="false" customHeight="true" outlineLevel="0" collapsed="false">
      <c r="B47" s="51" t="s">
        <v>386</v>
      </c>
      <c r="D47" s="20" t="n">
        <f aca="false">Historicals!G12/Historicals!G8</f>
        <v>0</v>
      </c>
      <c r="E47" s="58" t="n">
        <v>0.42</v>
      </c>
      <c r="F47" s="58" t="n">
        <v>0.42</v>
      </c>
      <c r="G47" s="58" t="n">
        <v>0.42</v>
      </c>
      <c r="H47" s="37" t="s">
        <v>387</v>
      </c>
    </row>
    <row r="48" customFormat="false" ht="15" hidden="false" customHeight="true" outlineLevel="0" collapsed="false">
      <c r="B48" s="51" t="s">
        <v>388</v>
      </c>
      <c r="D48" s="20" t="n">
        <f aca="false">Historicals!G13/Historicals!G8</f>
        <v>0.238121820698706</v>
      </c>
      <c r="E48" s="58" t="n">
        <v>0.115</v>
      </c>
      <c r="F48" s="58" t="n">
        <v>0.11</v>
      </c>
      <c r="G48" s="58" t="n">
        <v>0.108</v>
      </c>
      <c r="H48" s="37" t="s">
        <v>389</v>
      </c>
    </row>
    <row r="49" customFormat="false" ht="15" hidden="false" customHeight="true" outlineLevel="0" collapsed="false">
      <c r="B49" s="51" t="s">
        <v>390</v>
      </c>
      <c r="D49" s="20" t="n">
        <f aca="false">Historicals!G14/Historicals!G8</f>
        <v>0.422330893393079</v>
      </c>
      <c r="E49" s="58" t="n">
        <v>0.115</v>
      </c>
      <c r="F49" s="58" t="n">
        <v>0.115</v>
      </c>
      <c r="G49" s="58" t="n">
        <v>0.115</v>
      </c>
      <c r="H49" s="37" t="s">
        <v>391</v>
      </c>
    </row>
    <row r="51" customFormat="false" ht="15" hidden="false" customHeight="true" outlineLevel="0" collapsed="false">
      <c r="B51" s="40" t="s">
        <v>392</v>
      </c>
      <c r="C51" s="41"/>
      <c r="D51" s="41"/>
      <c r="E51" s="41"/>
      <c r="F51" s="41"/>
      <c r="G51" s="41"/>
      <c r="H51" s="41"/>
    </row>
    <row r="52" customFormat="false" ht="15" hidden="false" customHeight="true" outlineLevel="0" collapsed="false">
      <c r="B52" s="51" t="s">
        <v>393</v>
      </c>
      <c r="D52" s="14" t="n">
        <f aca="false">Historicals!G11</f>
        <v>0</v>
      </c>
      <c r="E52" s="13" t="n">
        <f aca="false">E46*E40</f>
        <v>2452.75885186756</v>
      </c>
      <c r="F52" s="13" t="n">
        <f aca="false">F46*F40</f>
        <v>2908.52413954841</v>
      </c>
      <c r="G52" s="13" t="n">
        <f aca="false">G46*G40</f>
        <v>3534.09877713816</v>
      </c>
    </row>
    <row r="53" customFormat="false" ht="15" hidden="false" customHeight="true" outlineLevel="0" collapsed="false">
      <c r="B53" s="51" t="s">
        <v>86</v>
      </c>
      <c r="D53" s="14" t="n">
        <f aca="false">Historicals!G12</f>
        <v>0</v>
      </c>
      <c r="E53" s="13" t="n">
        <f aca="false">E47*E40</f>
        <v>4204.72946034438</v>
      </c>
      <c r="F53" s="13" t="n">
        <f aca="false">F47*F40</f>
        <v>5089.91724420971</v>
      </c>
      <c r="G53" s="13" t="n">
        <f aca="false">G47*G40</f>
        <v>6184.67285999178</v>
      </c>
    </row>
    <row r="54" customFormat="false" ht="15" hidden="false" customHeight="true" outlineLevel="0" collapsed="false">
      <c r="B54" s="51" t="s">
        <v>394</v>
      </c>
      <c r="D54" s="14" t="n">
        <f aca="false">Historicals!G13</f>
        <v>2845.17</v>
      </c>
      <c r="E54" s="13" t="n">
        <f aca="false">E48*E40</f>
        <v>1151.29497128477</v>
      </c>
      <c r="F54" s="13" t="n">
        <f aca="false">F48*F40</f>
        <v>1333.07356395969</v>
      </c>
      <c r="G54" s="13" t="n">
        <f aca="false">G48*G40</f>
        <v>1590.34444971217</v>
      </c>
    </row>
    <row r="55" customFormat="false" ht="15" hidden="false" customHeight="true" outlineLevel="0" collapsed="false">
      <c r="B55" s="51" t="s">
        <v>395</v>
      </c>
      <c r="D55" s="14" t="n">
        <f aca="false">Historicals!G14</f>
        <v>5046.17</v>
      </c>
      <c r="E55" s="13" t="n">
        <f aca="false">E49*E40</f>
        <v>1151.29497128477</v>
      </c>
      <c r="F55" s="13" t="n">
        <f aca="false">F49*F40</f>
        <v>1393.66781686694</v>
      </c>
      <c r="G55" s="13" t="n">
        <f aca="false">G49*G40</f>
        <v>1693.42233071203</v>
      </c>
    </row>
    <row r="56" customFormat="false" ht="15" hidden="false" customHeight="true" outlineLevel="0" collapsed="false">
      <c r="B56" s="7" t="s">
        <v>396</v>
      </c>
      <c r="D56" s="15" t="n">
        <f aca="false">SUM(D52:D55)</f>
        <v>7891.34</v>
      </c>
      <c r="E56" s="15" t="n">
        <f aca="false">SUM(E52:E55)</f>
        <v>8960.07825478148</v>
      </c>
      <c r="F56" s="15" t="n">
        <f aca="false">SUM(F52:F55)</f>
        <v>10725.1827645847</v>
      </c>
      <c r="G56" s="15" t="n">
        <f aca="false">SUM(G52:G55)</f>
        <v>13002.5384175541</v>
      </c>
    </row>
    <row r="58" customFormat="false" ht="15" hidden="false" customHeight="true" outlineLevel="0" collapsed="false">
      <c r="B58" s="22" t="s">
        <v>397</v>
      </c>
      <c r="D58" s="69" t="n">
        <f aca="false">D40-D56</f>
        <v>4057.04</v>
      </c>
      <c r="E58" s="69" t="n">
        <f aca="false">E40-E56</f>
        <v>1051.1823650861</v>
      </c>
      <c r="F58" s="69" t="n">
        <f aca="false">F40-F56</f>
        <v>1393.66781686694</v>
      </c>
      <c r="G58" s="69" t="n">
        <f aca="false">G40-G56</f>
        <v>1722.87315385485</v>
      </c>
      <c r="H58" s="37" t="s">
        <v>398</v>
      </c>
    </row>
    <row r="59" customFormat="false" ht="15" hidden="false" customHeight="true" outlineLevel="0" collapsed="false">
      <c r="B59" s="63" t="s">
        <v>399</v>
      </c>
      <c r="D59" s="68" t="n">
        <f aca="false">D58/D40</f>
        <v>0.339547285908215</v>
      </c>
      <c r="E59" s="68" t="n">
        <f aca="false">E58/E40</f>
        <v>0.105</v>
      </c>
      <c r="F59" s="68" t="n">
        <f aca="false">F58/F40</f>
        <v>0.115</v>
      </c>
      <c r="G59" s="68" t="n">
        <f aca="false">G58/G40</f>
        <v>0.117</v>
      </c>
      <c r="H59" s="46" t="s">
        <v>400</v>
      </c>
    </row>
    <row r="61" customFormat="false" ht="15" hidden="false" customHeight="true" outlineLevel="0" collapsed="false">
      <c r="B61" s="9" t="s">
        <v>401</v>
      </c>
      <c r="D61" s="14" t="n">
        <f aca="false">Historicals!G17</f>
        <v>453.92</v>
      </c>
      <c r="E61" s="13" t="n">
        <f aca="false">E40*0.04</f>
        <v>400.450424794703</v>
      </c>
      <c r="F61" s="13" t="n">
        <f aca="false">F40*0.038</f>
        <v>460.516322095164</v>
      </c>
      <c r="G61" s="13" t="n">
        <f aca="false">G40*0.036</f>
        <v>530.114816570724</v>
      </c>
      <c r="H61" s="37" t="s">
        <v>402</v>
      </c>
    </row>
    <row r="62" customFormat="false" ht="15" hidden="false" customHeight="true" outlineLevel="0" collapsed="false">
      <c r="B62" s="7" t="s">
        <v>403</v>
      </c>
      <c r="D62" s="15" t="n">
        <f aca="false">D58+D42-D61</f>
        <v>3976.84</v>
      </c>
      <c r="E62" s="15" t="n">
        <f aca="false">E58+E42-E61</f>
        <v>951.069758887419</v>
      </c>
      <c r="F62" s="15" t="n">
        <f aca="false">F58+F42-F61</f>
        <v>1296.71701221533</v>
      </c>
      <c r="G62" s="15" t="n">
        <f aca="false">G58+G42-G61</f>
        <v>1634.5206844264</v>
      </c>
      <c r="H62" s="37" t="s">
        <v>404</v>
      </c>
    </row>
    <row r="64" customFormat="false" ht="15" hidden="false" customHeight="true" outlineLevel="0" collapsed="false">
      <c r="B64" s="9" t="s">
        <v>405</v>
      </c>
      <c r="D64" s="14" t="n">
        <f aca="false">Historicals!G16</f>
        <v>673.61</v>
      </c>
      <c r="E64" s="13" t="n">
        <f aca="false">E65*(D85+E85)/2</f>
        <v>371.51835</v>
      </c>
      <c r="F64" s="13" t="n">
        <f aca="false">F65*(E85+F85)/2</f>
        <v>361.01835</v>
      </c>
      <c r="G64" s="13" t="n">
        <f aca="false">G65*(F85+G85)/2</f>
        <v>334.76835</v>
      </c>
      <c r="H64" s="37" t="s">
        <v>406</v>
      </c>
    </row>
    <row r="65" customFormat="false" ht="15" hidden="false" customHeight="true" outlineLevel="0" collapsed="false">
      <c r="B65" s="70" t="s">
        <v>407</v>
      </c>
      <c r="E65" s="71" t="n">
        <v>0.105</v>
      </c>
      <c r="F65" s="18" t="n">
        <f aca="false">E65</f>
        <v>0.105</v>
      </c>
      <c r="G65" s="18" t="n">
        <f aca="false">F65</f>
        <v>0.105</v>
      </c>
      <c r="H65" s="37" t="s">
        <v>408</v>
      </c>
    </row>
    <row r="66" customFormat="false" ht="15" hidden="false" customHeight="true" outlineLevel="0" collapsed="false">
      <c r="B66" s="9" t="s">
        <v>94</v>
      </c>
      <c r="D66" s="14" t="n">
        <f aca="false">Historicals!G22</f>
        <v>76.51</v>
      </c>
      <c r="E66" s="72" t="n">
        <v>0</v>
      </c>
      <c r="F66" s="72" t="n">
        <v>0</v>
      </c>
      <c r="G66" s="72" t="n">
        <v>0</v>
      </c>
    </row>
    <row r="67" customFormat="false" ht="15" hidden="false" customHeight="true" outlineLevel="0" collapsed="false">
      <c r="B67" s="7" t="s">
        <v>409</v>
      </c>
      <c r="D67" s="15" t="n">
        <f aca="false">D62-D64-D66</f>
        <v>3226.72</v>
      </c>
      <c r="E67" s="15" t="n">
        <f aca="false">E62-E64-E66</f>
        <v>579.55140888742</v>
      </c>
      <c r="F67" s="15" t="n">
        <f aca="false">F62-F64-F66</f>
        <v>935.698662215331</v>
      </c>
      <c r="G67" s="15" t="n">
        <f aca="false">G62-G64-G66</f>
        <v>1299.7523344264</v>
      </c>
    </row>
    <row r="68" customFormat="false" ht="15" hidden="false" customHeight="true" outlineLevel="0" collapsed="false">
      <c r="B68" s="9" t="s">
        <v>410</v>
      </c>
      <c r="D68" s="14" t="n">
        <f aca="false">Historicals!G29</f>
        <v>136.05</v>
      </c>
      <c r="E68" s="13" t="n">
        <f aca="false">E67*E69</f>
        <v>147.785609266292</v>
      </c>
      <c r="F68" s="13" t="n">
        <f aca="false">F67*F69</f>
        <v>238.603158864909</v>
      </c>
      <c r="G68" s="13" t="n">
        <f aca="false">G67*G69</f>
        <v>331.436845278732</v>
      </c>
    </row>
    <row r="69" customFormat="false" ht="15" hidden="false" customHeight="true" outlineLevel="0" collapsed="false">
      <c r="B69" s="70" t="s">
        <v>411</v>
      </c>
      <c r="E69" s="71" t="n">
        <v>0.255</v>
      </c>
      <c r="F69" s="18" t="n">
        <f aca="false">E69</f>
        <v>0.255</v>
      </c>
      <c r="G69" s="18" t="n">
        <f aca="false">F69</f>
        <v>0.255</v>
      </c>
      <c r="H69" s="37" t="s">
        <v>412</v>
      </c>
    </row>
    <row r="70" customFormat="false" ht="15" hidden="false" customHeight="true" outlineLevel="0" collapsed="false">
      <c r="B70" s="22" t="s">
        <v>413</v>
      </c>
      <c r="D70" s="69" t="n">
        <f aca="false">D67-D68</f>
        <v>3090.67</v>
      </c>
      <c r="E70" s="69" t="n">
        <f aca="false">E67-E68</f>
        <v>431.765799621128</v>
      </c>
      <c r="F70" s="69" t="n">
        <f aca="false">F67-F68</f>
        <v>697.095503350421</v>
      </c>
      <c r="G70" s="69" t="n">
        <f aca="false">G67-G68</f>
        <v>968.315489147667</v>
      </c>
    </row>
    <row r="71" customFormat="false" ht="15" hidden="false" customHeight="true" outlineLevel="0" collapsed="false">
      <c r="B71" s="63" t="s">
        <v>414</v>
      </c>
      <c r="D71" s="68" t="n">
        <f aca="false">D70/D40</f>
        <v>0.258668539165979</v>
      </c>
      <c r="E71" s="68" t="n">
        <f aca="false">E70/E40</f>
        <v>0.0431280151436951</v>
      </c>
      <c r="F71" s="68" t="n">
        <f aca="false">F70/F40</f>
        <v>0.0575215857861429</v>
      </c>
      <c r="G71" s="68" t="n">
        <f aca="false">G70/G40</f>
        <v>0.06575812733328</v>
      </c>
    </row>
    <row r="72" customFormat="false" ht="15" hidden="false" customHeight="true" outlineLevel="0" collapsed="false">
      <c r="B72" s="9" t="s">
        <v>25</v>
      </c>
      <c r="D72" s="12" t="n">
        <f aca="false">Historicals!G51</f>
        <v>6.82</v>
      </c>
      <c r="E72" s="21" t="n">
        <f aca="false">E70/36.798</f>
        <v>11.7334039790512</v>
      </c>
      <c r="F72" s="21" t="n">
        <f aca="false">F70/36.798</f>
        <v>18.9438421476825</v>
      </c>
      <c r="G72" s="21" t="n">
        <f aca="false">G70/36.798</f>
        <v>26.3143510285251</v>
      </c>
      <c r="H72" s="37" t="s">
        <v>415</v>
      </c>
    </row>
    <row r="75" customFormat="false" ht="19.5" hidden="false" customHeight="true" outlineLevel="0" collapsed="false">
      <c r="B75" s="4" t="s">
        <v>416</v>
      </c>
      <c r="C75" s="4"/>
      <c r="D75" s="4"/>
      <c r="E75" s="4"/>
      <c r="F75" s="4"/>
      <c r="G75" s="4"/>
      <c r="H75" s="4"/>
    </row>
    <row r="77" customFormat="false" ht="15" hidden="false" customHeight="true" outlineLevel="0" collapsed="false">
      <c r="B77" s="40" t="s">
        <v>417</v>
      </c>
      <c r="C77" s="41"/>
      <c r="D77" s="41"/>
      <c r="E77" s="41"/>
      <c r="F77" s="41"/>
      <c r="G77" s="41"/>
      <c r="H77" s="41"/>
    </row>
    <row r="78" customFormat="false" ht="15" hidden="false" customHeight="true" outlineLevel="0" collapsed="false">
      <c r="B78" s="9" t="s">
        <v>418</v>
      </c>
      <c r="D78" s="14" t="n">
        <f aca="false">Historicals!G99</f>
        <v>5450.58</v>
      </c>
      <c r="E78" s="13" t="n">
        <f aca="false">D78+E70-E79</f>
        <v>5771.95179962113</v>
      </c>
      <c r="F78" s="13" t="n">
        <f aca="false">E78+F70-F79</f>
        <v>6321.85530297155</v>
      </c>
      <c r="G78" s="13" t="n">
        <f aca="false">F78+G70-G79</f>
        <v>7106.18079211922</v>
      </c>
    </row>
    <row r="79" customFormat="false" ht="15" hidden="false" customHeight="true" outlineLevel="0" collapsed="false">
      <c r="B79" s="73" t="s">
        <v>419</v>
      </c>
      <c r="E79" s="74" t="n">
        <f aca="false">3*36.798</f>
        <v>110.394</v>
      </c>
      <c r="F79" s="74" t="n">
        <f aca="false">4*36.798</f>
        <v>147.192</v>
      </c>
      <c r="G79" s="74" t="n">
        <f aca="false">5*36.798</f>
        <v>183.99</v>
      </c>
      <c r="H79" s="37" t="s">
        <v>420</v>
      </c>
    </row>
    <row r="81" customFormat="false" ht="15" hidden="false" customHeight="true" outlineLevel="0" collapsed="false">
      <c r="B81" s="51" t="s">
        <v>421</v>
      </c>
      <c r="E81" s="75" t="n">
        <v>0</v>
      </c>
      <c r="F81" s="75" t="n">
        <v>-200</v>
      </c>
      <c r="G81" s="75" t="n">
        <v>-300</v>
      </c>
      <c r="H81" s="37" t="s">
        <v>422</v>
      </c>
    </row>
    <row r="85" customFormat="false" ht="15" hidden="false" customHeight="true" outlineLevel="0" collapsed="false">
      <c r="B85" s="7" t="s">
        <v>423</v>
      </c>
      <c r="D85" s="59" t="n">
        <f aca="false">Historicals!G216</f>
        <v>3538.27</v>
      </c>
      <c r="E85" s="15" t="n">
        <f aca="false">D85+E81</f>
        <v>3538.27</v>
      </c>
      <c r="F85" s="15" t="n">
        <f aca="false">E85+F81</f>
        <v>3338.27</v>
      </c>
      <c r="G85" s="15" t="n">
        <f aca="false">F85+G81</f>
        <v>3038.27</v>
      </c>
    </row>
    <row r="87" customFormat="false" ht="15" hidden="false" customHeight="true" outlineLevel="0" collapsed="false">
      <c r="B87" s="40" t="s">
        <v>424</v>
      </c>
      <c r="C87" s="41"/>
      <c r="D87" s="41"/>
      <c r="E87" s="41"/>
      <c r="F87" s="41"/>
      <c r="G87" s="41"/>
      <c r="H87" s="41"/>
    </row>
    <row r="88" customFormat="false" ht="15" hidden="false" customHeight="true" outlineLevel="0" collapsed="false">
      <c r="B88" s="51" t="s">
        <v>425</v>
      </c>
      <c r="D88" s="76" t="n">
        <f aca="false">Historicals!G223*365/Historicals!G8</f>
        <v>123.355873348521</v>
      </c>
      <c r="E88" s="77" t="n">
        <v>118</v>
      </c>
      <c r="F88" s="77" t="n">
        <v>110</v>
      </c>
      <c r="G88" s="77" t="n">
        <v>102</v>
      </c>
      <c r="H88" s="37" t="s">
        <v>426</v>
      </c>
    </row>
    <row r="89" customFormat="false" ht="15" hidden="false" customHeight="true" outlineLevel="0" collapsed="false">
      <c r="B89" s="51" t="s">
        <v>427</v>
      </c>
      <c r="D89" s="76" t="n">
        <f aca="false">Historicals!G224*365/Historicals!G8</f>
        <v>236.182436447451</v>
      </c>
      <c r="E89" s="77" t="n">
        <v>228</v>
      </c>
      <c r="F89" s="77" t="n">
        <v>215</v>
      </c>
      <c r="G89" s="77" t="n">
        <v>200</v>
      </c>
      <c r="H89" s="37" t="s">
        <v>428</v>
      </c>
    </row>
    <row r="90" customFormat="false" ht="15" hidden="false" customHeight="true" outlineLevel="0" collapsed="false">
      <c r="B90" s="51" t="s">
        <v>429</v>
      </c>
      <c r="D90" s="76" t="n">
        <f aca="false">Historicals!G79*365/Historicals!G8</f>
        <v>31.0542558907567</v>
      </c>
      <c r="E90" s="77" t="n">
        <v>30</v>
      </c>
      <c r="F90" s="77" t="n">
        <v>30</v>
      </c>
      <c r="G90" s="77" t="n">
        <v>28</v>
      </c>
      <c r="H90" s="37" t="s">
        <v>430</v>
      </c>
    </row>
    <row r="91" customFormat="false" ht="15" hidden="false" customHeight="true" outlineLevel="0" collapsed="false">
      <c r="B91" s="51" t="s">
        <v>431</v>
      </c>
      <c r="D91" s="76" t="n">
        <f aca="false">Historicals!G218*365/Historicals!G8</f>
        <v>136.57066480979</v>
      </c>
      <c r="E91" s="77" t="n">
        <v>130</v>
      </c>
      <c r="F91" s="77" t="n">
        <v>122</v>
      </c>
      <c r="G91" s="77" t="n">
        <v>115</v>
      </c>
      <c r="H91" s="37" t="s">
        <v>432</v>
      </c>
    </row>
    <row r="92" customFormat="false" ht="15" hidden="false" customHeight="true" outlineLevel="0" collapsed="false">
      <c r="B92" s="51" t="s">
        <v>433</v>
      </c>
      <c r="D92" s="76" t="n">
        <f aca="false">Historicals!G219*365/Historicals!G8</f>
        <v>125.063816182612</v>
      </c>
      <c r="E92" s="77" t="n">
        <v>130</v>
      </c>
      <c r="F92" s="77" t="n">
        <v>132</v>
      </c>
      <c r="G92" s="77" t="n">
        <v>135</v>
      </c>
      <c r="H92" s="37" t="s">
        <v>434</v>
      </c>
    </row>
    <row r="94" customFormat="false" ht="15" hidden="false" customHeight="true" outlineLevel="0" collapsed="false">
      <c r="B94" s="40" t="s">
        <v>435</v>
      </c>
      <c r="C94" s="41"/>
      <c r="D94" s="41"/>
      <c r="E94" s="41"/>
      <c r="F94" s="41"/>
      <c r="G94" s="41"/>
      <c r="H94" s="41"/>
    </row>
    <row r="95" customFormat="false" ht="15" hidden="false" customHeight="true" outlineLevel="0" collapsed="false">
      <c r="B95" s="51" t="s">
        <v>436</v>
      </c>
      <c r="D95" s="14" t="n">
        <f aca="false">Historicals!G223</f>
        <v>4038.09</v>
      </c>
      <c r="E95" s="13" t="n">
        <f aca="false">E88*E40/365</f>
        <v>3236.5171319024</v>
      </c>
      <c r="F95" s="13" t="n">
        <f aca="false">F88*F40/365</f>
        <v>3652.25633961558</v>
      </c>
      <c r="G95" s="13" t="n">
        <f aca="false">G88*G40/365</f>
        <v>4115.04652132525</v>
      </c>
    </row>
    <row r="96" customFormat="false" ht="15" hidden="false" customHeight="true" outlineLevel="0" collapsed="false">
      <c r="B96" s="51" t="s">
        <v>437</v>
      </c>
      <c r="D96" s="14" t="n">
        <f aca="false">Historicals!G224</f>
        <v>7731.5</v>
      </c>
      <c r="E96" s="13" t="n">
        <f aca="false">E89*E40/365</f>
        <v>6253.60937350632</v>
      </c>
      <c r="F96" s="13" t="n">
        <f aca="false">F89*F40/365</f>
        <v>7138.50102743045</v>
      </c>
      <c r="G96" s="13" t="n">
        <f aca="false">G89*G40/365</f>
        <v>8068.7186692652</v>
      </c>
    </row>
    <row r="97" customFormat="false" ht="15" hidden="false" customHeight="true" outlineLevel="0" collapsed="false">
      <c r="B97" s="51" t="s">
        <v>438</v>
      </c>
      <c r="D97" s="14" t="n">
        <f aca="false">Historicals!G79</f>
        <v>1016.57</v>
      </c>
      <c r="E97" s="13" t="n">
        <f aca="false">E90*E40/365</f>
        <v>822.843338619253</v>
      </c>
      <c r="F97" s="13" t="n">
        <f aca="false">F90*F40/365</f>
        <v>996.069910804248</v>
      </c>
      <c r="G97" s="13" t="n">
        <f aca="false">G90*G40/365</f>
        <v>1129.62061369713</v>
      </c>
    </row>
    <row r="98" customFormat="false" ht="15" hidden="false" customHeight="true" outlineLevel="0" collapsed="false">
      <c r="B98" s="51" t="s">
        <v>439</v>
      </c>
      <c r="D98" s="14" t="n">
        <f aca="false">Historicals!G218</f>
        <v>4470.68</v>
      </c>
      <c r="E98" s="13" t="n">
        <f aca="false">E91*E40/365</f>
        <v>3565.6544673501</v>
      </c>
      <c r="F98" s="13" t="n">
        <f aca="false">F91*F40/365</f>
        <v>4050.68430393728</v>
      </c>
      <c r="G98" s="13" t="n">
        <f aca="false">G91*G40/365</f>
        <v>4639.51323482749</v>
      </c>
    </row>
    <row r="99" customFormat="false" ht="15" hidden="false" customHeight="true" outlineLevel="0" collapsed="false">
      <c r="B99" s="51" t="s">
        <v>440</v>
      </c>
      <c r="D99" s="14" t="n">
        <f aca="false">Historicals!G219</f>
        <v>4094</v>
      </c>
      <c r="E99" s="13" t="n">
        <f aca="false">E92*E40/365</f>
        <v>3565.6544673501</v>
      </c>
      <c r="F99" s="13" t="n">
        <f aca="false">F92*F40/365</f>
        <v>4382.70760753869</v>
      </c>
      <c r="G99" s="13" t="n">
        <f aca="false">G92*G40/365</f>
        <v>5446.38510175401</v>
      </c>
    </row>
    <row r="101" customFormat="false" ht="15" hidden="false" customHeight="true" outlineLevel="0" collapsed="false">
      <c r="B101" s="40" t="s">
        <v>441</v>
      </c>
      <c r="C101" s="41"/>
      <c r="D101" s="41"/>
      <c r="E101" s="41"/>
      <c r="F101" s="41"/>
      <c r="G101" s="41"/>
      <c r="H101" s="41"/>
    </row>
    <row r="102" customFormat="false" ht="15" hidden="false" customHeight="true" outlineLevel="0" collapsed="false">
      <c r="B102" s="51" t="s">
        <v>442</v>
      </c>
      <c r="D102" s="14" t="n">
        <f aca="false">Historicals!G217</f>
        <v>88.64</v>
      </c>
      <c r="E102" s="13" t="n">
        <f aca="false">D102</f>
        <v>88.64</v>
      </c>
      <c r="F102" s="13" t="n">
        <f aca="false">D102</f>
        <v>88.64</v>
      </c>
      <c r="G102" s="13" t="n">
        <f aca="false">D102</f>
        <v>88.64</v>
      </c>
      <c r="H102" s="37" t="s">
        <v>443</v>
      </c>
    </row>
    <row r="103" customFormat="false" ht="15" hidden="false" customHeight="true" outlineLevel="0" collapsed="false">
      <c r="B103" s="51" t="s">
        <v>444</v>
      </c>
      <c r="D103" s="14" t="n">
        <f aca="false">Historicals!G220</f>
        <v>1057.25</v>
      </c>
      <c r="E103" s="75" t="n">
        <v>800</v>
      </c>
      <c r="F103" s="75" t="n">
        <v>700</v>
      </c>
      <c r="G103" s="75" t="n">
        <v>600</v>
      </c>
      <c r="H103" s="37" t="s">
        <v>445</v>
      </c>
    </row>
    <row r="104" customFormat="false" ht="15" hidden="false" customHeight="true" outlineLevel="0" collapsed="false">
      <c r="B104" s="51" t="s">
        <v>446</v>
      </c>
      <c r="D104" s="14" t="n">
        <f aca="false">Historicals!G221</f>
        <v>219.99</v>
      </c>
      <c r="E104" s="13" t="n">
        <f aca="false">D104*1.05</f>
        <v>230.9895</v>
      </c>
      <c r="F104" s="13" t="n">
        <f aca="false">E104*1.05</f>
        <v>242.538975</v>
      </c>
      <c r="G104" s="13" t="n">
        <f aca="false">F104*1.05</f>
        <v>254.66592375</v>
      </c>
      <c r="H104" s="37" t="s">
        <v>447</v>
      </c>
    </row>
    <row r="105" customFormat="false" ht="15" hidden="false" customHeight="true" outlineLevel="0" collapsed="false">
      <c r="B105" s="51" t="s">
        <v>448</v>
      </c>
      <c r="D105" s="14" t="n">
        <f aca="false">Historicals!G125</f>
        <v>75.68</v>
      </c>
      <c r="E105" s="13" t="n">
        <f aca="false">D105</f>
        <v>75.68</v>
      </c>
      <c r="F105" s="13" t="n">
        <f aca="false">D105</f>
        <v>75.68</v>
      </c>
      <c r="G105" s="13" t="n">
        <f aca="false">D105</f>
        <v>75.68</v>
      </c>
    </row>
    <row r="106" customFormat="false" ht="15" hidden="false" customHeight="true" outlineLevel="0" collapsed="false">
      <c r="B106" s="51" t="s">
        <v>449</v>
      </c>
      <c r="D106" s="14" t="n">
        <f aca="false">Historicals!G126</f>
        <v>130.33</v>
      </c>
      <c r="E106" s="13" t="n">
        <f aca="false">D106</f>
        <v>130.33</v>
      </c>
      <c r="F106" s="13" t="n">
        <f aca="false">D106</f>
        <v>130.33</v>
      </c>
      <c r="G106" s="13" t="n">
        <f aca="false">D106</f>
        <v>130.33</v>
      </c>
    </row>
    <row r="108" customFormat="false" ht="15" hidden="false" customHeight="true" outlineLevel="0" collapsed="false">
      <c r="B108" s="7" t="s">
        <v>450</v>
      </c>
      <c r="D108" s="15" t="n">
        <f aca="false">D85+D102+D98+D99+D103+D104+D105+D106</f>
        <v>13674.84</v>
      </c>
      <c r="E108" s="15" t="n">
        <f aca="false">E85+E102+E98+E99+E103+E104+E105+E106</f>
        <v>11995.2184347002</v>
      </c>
      <c r="F108" s="15" t="n">
        <f aca="false">F85+F102+F98+F99+F103+F104+F105+F106</f>
        <v>13008.850886476</v>
      </c>
      <c r="G108" s="15" t="n">
        <f aca="false">G85+G102+G98+G99+G103+G104+G105+G106</f>
        <v>14273.4842603315</v>
      </c>
    </row>
    <row r="109" customFormat="false" ht="15" hidden="false" customHeight="true" outlineLevel="0" collapsed="false">
      <c r="B109" s="7" t="s">
        <v>451</v>
      </c>
      <c r="D109" s="15" t="n">
        <f aca="false">D78+D108</f>
        <v>19125.42</v>
      </c>
      <c r="E109" s="15" t="n">
        <f aca="false">E78+E108</f>
        <v>17767.1702343213</v>
      </c>
      <c r="F109" s="15" t="n">
        <f aca="false">F78+F108</f>
        <v>19330.7061894475</v>
      </c>
      <c r="G109" s="15" t="n">
        <f aca="false">G78+G108</f>
        <v>21379.6650524507</v>
      </c>
    </row>
    <row r="111" customFormat="false" ht="15" hidden="false" customHeight="true" outlineLevel="0" collapsed="false">
      <c r="B111" s="40" t="s">
        <v>452</v>
      </c>
      <c r="C111" s="41"/>
      <c r="D111" s="41"/>
      <c r="E111" s="41"/>
      <c r="F111" s="41"/>
      <c r="G111" s="41"/>
      <c r="H111" s="41"/>
    </row>
    <row r="112" customFormat="false" ht="15" hidden="false" customHeight="true" outlineLevel="0" collapsed="false">
      <c r="B112" s="51" t="s">
        <v>453</v>
      </c>
      <c r="D112" s="14" t="n">
        <f aca="false">Historicals!G222</f>
        <v>3399.34</v>
      </c>
      <c r="E112" s="13" t="n">
        <f aca="false">D112+725-E61</f>
        <v>3723.8895752053</v>
      </c>
      <c r="F112" s="13" t="n">
        <f aca="false">E112+600-F61</f>
        <v>3863.37325311013</v>
      </c>
      <c r="G112" s="13" t="n">
        <f aca="false">F112+600-G61</f>
        <v>3933.25843653941</v>
      </c>
      <c r="H112" s="37" t="s">
        <v>454</v>
      </c>
    </row>
    <row r="113" customFormat="false" ht="15" hidden="false" customHeight="true" outlineLevel="0" collapsed="false">
      <c r="B113" s="51" t="s">
        <v>455</v>
      </c>
      <c r="D113" s="14" t="n">
        <f aca="false">Historicals!G68</f>
        <v>0.5</v>
      </c>
      <c r="E113" s="13" t="n">
        <f aca="false">D113</f>
        <v>0.5</v>
      </c>
      <c r="F113" s="13" t="n">
        <f aca="false">D113</f>
        <v>0.5</v>
      </c>
      <c r="G113" s="13" t="n">
        <f aca="false">D113</f>
        <v>0.5</v>
      </c>
    </row>
    <row r="114" customFormat="false" ht="15" hidden="false" customHeight="true" outlineLevel="0" collapsed="false">
      <c r="B114" s="51" t="s">
        <v>456</v>
      </c>
      <c r="D114" s="14" t="n">
        <f aca="false">Historicals!G70</f>
        <v>0.54</v>
      </c>
      <c r="E114" s="13" t="n">
        <f aca="false">D114</f>
        <v>0.54</v>
      </c>
      <c r="F114" s="13" t="n">
        <f aca="false">D114</f>
        <v>0.54</v>
      </c>
      <c r="G114" s="13" t="n">
        <f aca="false">D114</f>
        <v>0.54</v>
      </c>
    </row>
    <row r="115" customFormat="false" ht="15" hidden="false" customHeight="true" outlineLevel="0" collapsed="false">
      <c r="B115" s="51" t="s">
        <v>436</v>
      </c>
      <c r="D115" s="13" t="n">
        <f aca="false">D95</f>
        <v>4038.09</v>
      </c>
      <c r="E115" s="13" t="n">
        <f aca="false">E95</f>
        <v>3236.5171319024</v>
      </c>
      <c r="F115" s="13" t="n">
        <f aca="false">F95</f>
        <v>3652.25633961558</v>
      </c>
      <c r="G115" s="13" t="n">
        <f aca="false">G95</f>
        <v>4115.04652132525</v>
      </c>
    </row>
    <row r="116" customFormat="false" ht="15" hidden="false" customHeight="true" outlineLevel="0" collapsed="false">
      <c r="B116" s="51" t="s">
        <v>457</v>
      </c>
      <c r="D116" s="13" t="n">
        <f aca="false">D96</f>
        <v>7731.5</v>
      </c>
      <c r="E116" s="13" t="n">
        <f aca="false">E96</f>
        <v>6253.60937350632</v>
      </c>
      <c r="F116" s="13" t="n">
        <f aca="false">F96</f>
        <v>7138.50102743045</v>
      </c>
      <c r="G116" s="13" t="n">
        <f aca="false">G96</f>
        <v>8068.7186692652</v>
      </c>
    </row>
    <row r="117" customFormat="false" ht="15" hidden="false" customHeight="true" outlineLevel="0" collapsed="false">
      <c r="B117" s="51" t="s">
        <v>438</v>
      </c>
      <c r="D117" s="13" t="n">
        <f aca="false">D97</f>
        <v>1016.57</v>
      </c>
      <c r="E117" s="13" t="n">
        <f aca="false">E97</f>
        <v>822.843338619253</v>
      </c>
      <c r="F117" s="13" t="n">
        <f aca="false">F97</f>
        <v>996.069910804248</v>
      </c>
      <c r="G117" s="13" t="n">
        <f aca="false">G97</f>
        <v>1129.62061369713</v>
      </c>
    </row>
    <row r="118" customFormat="false" ht="15" hidden="false" customHeight="true" outlineLevel="0" collapsed="false">
      <c r="B118" s="78" t="s">
        <v>458</v>
      </c>
      <c r="D118" s="79" t="n">
        <f aca="false">Historicals!G225</f>
        <v>885.89</v>
      </c>
      <c r="E118" s="69" t="n">
        <f aca="false">E109-E112-E113-E114-E115-E116-E117-E119-E120-E121-E122</f>
        <v>1670.96081508805</v>
      </c>
      <c r="F118" s="69" t="n">
        <f aca="false">F109-F112-F113-F114-F115-F116-F117-F119-F120-F121-F122</f>
        <v>1621.15565848711</v>
      </c>
      <c r="G118" s="69" t="n">
        <f aca="false">G109-G112-G113-G114-G115-G116-G117-G119-G120-G121-G122</f>
        <v>2073.67081162373</v>
      </c>
      <c r="H118" s="80" t="s">
        <v>459</v>
      </c>
    </row>
    <row r="119" customFormat="false" ht="15" hidden="false" customHeight="true" outlineLevel="0" collapsed="false">
      <c r="B119" s="51" t="s">
        <v>460</v>
      </c>
      <c r="D119" s="14" t="n">
        <f aca="false">Historicals!G84</f>
        <v>67.93</v>
      </c>
      <c r="E119" s="72" t="n">
        <f aca="false">D119</f>
        <v>67.93</v>
      </c>
      <c r="F119" s="72" t="n">
        <f aca="false">D119</f>
        <v>67.93</v>
      </c>
      <c r="G119" s="72" t="n">
        <f aca="false">D119</f>
        <v>67.93</v>
      </c>
    </row>
    <row r="120" customFormat="false" ht="15" hidden="false" customHeight="true" outlineLevel="0" collapsed="false">
      <c r="B120" s="51" t="s">
        <v>461</v>
      </c>
      <c r="D120" s="14" t="n">
        <f aca="false">Historicals!G226</f>
        <v>638.74</v>
      </c>
      <c r="E120" s="72" t="n">
        <f aca="false">D120</f>
        <v>638.74</v>
      </c>
      <c r="F120" s="72" t="n">
        <f aca="false">D120</f>
        <v>638.74</v>
      </c>
      <c r="G120" s="72" t="n">
        <f aca="false">D120</f>
        <v>638.74</v>
      </c>
    </row>
    <row r="121" customFormat="false" ht="15" hidden="false" customHeight="true" outlineLevel="0" collapsed="false">
      <c r="B121" s="51" t="s">
        <v>462</v>
      </c>
      <c r="D121" s="14" t="n">
        <f aca="false">Historicals!G74</f>
        <v>62.33</v>
      </c>
      <c r="E121" s="72" t="n">
        <f aca="false">D121</f>
        <v>62.33</v>
      </c>
      <c r="F121" s="72" t="n">
        <f aca="false">D121</f>
        <v>62.33</v>
      </c>
      <c r="G121" s="72" t="n">
        <f aca="false">D121</f>
        <v>62.33</v>
      </c>
    </row>
    <row r="122" customFormat="false" ht="15" hidden="false" customHeight="true" outlineLevel="0" collapsed="false">
      <c r="B122" s="51" t="s">
        <v>463</v>
      </c>
      <c r="D122" s="14" t="n">
        <f aca="false">Historicals!G227</f>
        <v>1289.31</v>
      </c>
      <c r="E122" s="72" t="n">
        <f aca="false">D122</f>
        <v>1289.31</v>
      </c>
      <c r="F122" s="72" t="n">
        <f aca="false">D122</f>
        <v>1289.31</v>
      </c>
      <c r="G122" s="72" t="n">
        <f aca="false">D122</f>
        <v>1289.31</v>
      </c>
    </row>
    <row r="123" customFormat="false" ht="15" hidden="false" customHeight="true" outlineLevel="0" collapsed="false">
      <c r="B123" s="7" t="s">
        <v>464</v>
      </c>
      <c r="D123" s="15" t="n">
        <f aca="false">SUM(D112:D122)</f>
        <v>19130.74</v>
      </c>
      <c r="E123" s="15" t="n">
        <f aca="false">SUM(E112:E122)</f>
        <v>17767.1702343213</v>
      </c>
      <c r="F123" s="15" t="n">
        <f aca="false">SUM(F112:F122)</f>
        <v>19330.7061894475</v>
      </c>
      <c r="G123" s="15" t="n">
        <f aca="false">SUM(G112:G122)</f>
        <v>21379.6650524507</v>
      </c>
    </row>
    <row r="125" customFormat="false" ht="15" hidden="false" customHeight="true" outlineLevel="0" collapsed="false">
      <c r="B125" s="43" t="s">
        <v>465</v>
      </c>
      <c r="D125" s="81" t="n">
        <f aca="false">D123-D109</f>
        <v>5.32000000000335</v>
      </c>
      <c r="E125" s="81" t="n">
        <f aca="false">E123-E109</f>
        <v>0</v>
      </c>
      <c r="F125" s="81" t="n">
        <f aca="false">F123-F109</f>
        <v>0</v>
      </c>
      <c r="G125" s="81" t="n">
        <f aca="false">G123-G109</f>
        <v>0</v>
      </c>
      <c r="H125" s="46" t="s">
        <v>466</v>
      </c>
    </row>
    <row r="128" customFormat="false" ht="19.5" hidden="false" customHeight="true" outlineLevel="0" collapsed="false">
      <c r="B128" s="4" t="s">
        <v>467</v>
      </c>
      <c r="C128" s="4"/>
      <c r="D128" s="4"/>
      <c r="E128" s="4"/>
      <c r="F128" s="4"/>
      <c r="G128" s="4"/>
      <c r="H128" s="4"/>
    </row>
    <row r="130" customFormat="false" ht="15" hidden="false" customHeight="true" outlineLevel="0" collapsed="false">
      <c r="B130" s="51" t="s">
        <v>413</v>
      </c>
      <c r="D130" s="14" t="n">
        <f aca="false">D70</f>
        <v>3090.67</v>
      </c>
      <c r="E130" s="14" t="n">
        <f aca="false">E70</f>
        <v>431.765799621128</v>
      </c>
      <c r="F130" s="14" t="n">
        <f aca="false">F70</f>
        <v>697.095503350421</v>
      </c>
      <c r="G130" s="14" t="n">
        <f aca="false">G70</f>
        <v>968.315489147667</v>
      </c>
    </row>
    <row r="131" customFormat="false" ht="15" hidden="false" customHeight="true" outlineLevel="0" collapsed="false">
      <c r="B131" s="51" t="s">
        <v>468</v>
      </c>
      <c r="D131" s="14" t="n">
        <f aca="false">D61</f>
        <v>453.92</v>
      </c>
      <c r="E131" s="14" t="n">
        <f aca="false">E61</f>
        <v>400.450424794703</v>
      </c>
      <c r="F131" s="14" t="n">
        <f aca="false">F61</f>
        <v>460.516322095164</v>
      </c>
      <c r="G131" s="14" t="n">
        <f aca="false">G61</f>
        <v>530.114816570724</v>
      </c>
    </row>
    <row r="132" customFormat="false" ht="15" hidden="false" customHeight="true" outlineLevel="0" collapsed="false">
      <c r="B132" s="51" t="s">
        <v>469</v>
      </c>
      <c r="D132" s="14" t="n">
        <f aca="false">D64</f>
        <v>673.61</v>
      </c>
      <c r="E132" s="14" t="n">
        <f aca="false">E64</f>
        <v>371.51835</v>
      </c>
      <c r="F132" s="14" t="n">
        <f aca="false">F64</f>
        <v>361.01835</v>
      </c>
      <c r="G132" s="14" t="n">
        <f aca="false">G64</f>
        <v>334.76835</v>
      </c>
    </row>
    <row r="133" customFormat="false" ht="15" hidden="false" customHeight="true" outlineLevel="0" collapsed="false">
      <c r="B133" s="82" t="s">
        <v>470</v>
      </c>
      <c r="D133" s="14" t="n">
        <f aca="false">Historicals!G237</f>
        <v>-1592.2</v>
      </c>
      <c r="E133" s="13" t="n">
        <f aca="false">-((E95+E96+E97)-(D95+D96+D97))+((E98+E99)-(D98+D99))</f>
        <v>1039.81909067222</v>
      </c>
      <c r="F133" s="13" t="n">
        <f aca="false">-((F95+F96+F97)-(E95+E96+E97))+((F98+F99)-(E98+E99))</f>
        <v>-171.774457046524</v>
      </c>
      <c r="G133" s="13" t="n">
        <f aca="false">-((G95+G96+G97)-(F95+F96+F97))+((G98+G99)-(F98+F99))</f>
        <v>125.947898668221</v>
      </c>
      <c r="H133" s="37" t="s">
        <v>471</v>
      </c>
    </row>
    <row r="134" customFormat="false" ht="15" hidden="false" customHeight="true" outlineLevel="0" collapsed="false">
      <c r="B134" s="7" t="s">
        <v>472</v>
      </c>
      <c r="D134" s="15" t="n">
        <f aca="false">D130+D131+D132+D133</f>
        <v>2626</v>
      </c>
      <c r="E134" s="15" t="n">
        <f aca="false">E130+E131+E132+E133</f>
        <v>2243.55366508805</v>
      </c>
      <c r="F134" s="15" t="n">
        <f aca="false">F130+F131+F132+F133</f>
        <v>1346.85571839906</v>
      </c>
      <c r="G134" s="15" t="n">
        <f aca="false">G130+G131+G132+G133</f>
        <v>1959.14655438661</v>
      </c>
    </row>
    <row r="136" customFormat="false" ht="15" hidden="false" customHeight="true" outlineLevel="0" collapsed="false">
      <c r="B136" s="82" t="s">
        <v>473</v>
      </c>
      <c r="D136" s="14" t="n">
        <f aca="false">Historicals!G181</f>
        <v>-401.72</v>
      </c>
      <c r="E136" s="72" t="n">
        <v>-725</v>
      </c>
      <c r="F136" s="72" t="n">
        <v>-600</v>
      </c>
      <c r="G136" s="72" t="n">
        <v>-600</v>
      </c>
    </row>
    <row r="137" customFormat="false" ht="15" hidden="false" customHeight="true" outlineLevel="0" collapsed="false">
      <c r="B137" s="7" t="s">
        <v>474</v>
      </c>
      <c r="D137" s="15" t="n">
        <f aca="false">D136</f>
        <v>-401.72</v>
      </c>
      <c r="E137" s="15" t="n">
        <f aca="false">E136</f>
        <v>-725</v>
      </c>
      <c r="F137" s="15" t="n">
        <f aca="false">F136</f>
        <v>-600</v>
      </c>
      <c r="G137" s="15" t="n">
        <f aca="false">G136</f>
        <v>-600</v>
      </c>
    </row>
    <row r="139" customFormat="false" ht="15" hidden="false" customHeight="true" outlineLevel="0" collapsed="false">
      <c r="B139" s="51" t="s">
        <v>421</v>
      </c>
      <c r="D139" s="14" t="n">
        <f aca="false">D81</f>
        <v>0</v>
      </c>
      <c r="E139" s="14" t="n">
        <f aca="false">E81</f>
        <v>0</v>
      </c>
      <c r="F139" s="14" t="n">
        <f aca="false">F81</f>
        <v>-200</v>
      </c>
      <c r="G139" s="14" t="n">
        <f aca="false">G81</f>
        <v>-300</v>
      </c>
    </row>
    <row r="140" customFormat="false" ht="15" hidden="false" customHeight="true" outlineLevel="0" collapsed="false">
      <c r="B140" s="82" t="s">
        <v>475</v>
      </c>
      <c r="D140" s="13" t="n">
        <f aca="false">-D64</f>
        <v>-673.61</v>
      </c>
      <c r="E140" s="13" t="n">
        <f aca="false">-E64</f>
        <v>-371.51835</v>
      </c>
      <c r="F140" s="13" t="n">
        <f aca="false">-F64</f>
        <v>-361.01835</v>
      </c>
      <c r="G140" s="13" t="n">
        <f aca="false">-G64</f>
        <v>-334.76835</v>
      </c>
    </row>
    <row r="141" customFormat="false" ht="15" hidden="false" customHeight="true" outlineLevel="0" collapsed="false">
      <c r="B141" s="82" t="s">
        <v>476</v>
      </c>
      <c r="D141" s="13" t="n">
        <f aca="false">-D79</f>
        <v>-0</v>
      </c>
      <c r="E141" s="13" t="n">
        <f aca="false">-E79</f>
        <v>-110.394</v>
      </c>
      <c r="F141" s="13" t="n">
        <f aca="false">-F79</f>
        <v>-147.192</v>
      </c>
      <c r="G141" s="13" t="n">
        <f aca="false">-G79</f>
        <v>-183.99</v>
      </c>
    </row>
    <row r="142" customFormat="false" ht="15" hidden="false" customHeight="true" outlineLevel="0" collapsed="false">
      <c r="B142" s="7" t="s">
        <v>477</v>
      </c>
      <c r="D142" s="15" t="n">
        <f aca="false">D139+D140+D141</f>
        <v>-673.61</v>
      </c>
      <c r="E142" s="15" t="n">
        <f aca="false">E139+E140+E141</f>
        <v>-481.91235</v>
      </c>
      <c r="F142" s="15" t="n">
        <f aca="false">F139+F140+F141</f>
        <v>-708.21035</v>
      </c>
      <c r="G142" s="15" t="n">
        <f aca="false">G139+G140+G141</f>
        <v>-818.75835</v>
      </c>
    </row>
    <row r="144" customFormat="false" ht="15" hidden="false" customHeight="true" outlineLevel="0" collapsed="false">
      <c r="B144" s="7" t="s">
        <v>478</v>
      </c>
      <c r="D144" s="15" t="n">
        <f aca="false">D134+D137+D142</f>
        <v>1550.67</v>
      </c>
      <c r="E144" s="15" t="n">
        <f aca="false">E134+E137+E142</f>
        <v>1036.64131508805</v>
      </c>
      <c r="F144" s="15" t="n">
        <f aca="false">F134+F137+F142</f>
        <v>38.6453683990617</v>
      </c>
      <c r="G144" s="15" t="n">
        <f aca="false">G134+G137+G142</f>
        <v>540.388204386612</v>
      </c>
    </row>
    <row r="145" customFormat="false" ht="15" hidden="false" customHeight="true" outlineLevel="0" collapsed="false">
      <c r="B145" s="51" t="s">
        <v>479</v>
      </c>
      <c r="D145" s="14" t="n">
        <f aca="false">Historicals!F225</f>
        <v>770.56</v>
      </c>
      <c r="E145" s="13" t="n">
        <f aca="false">D146</f>
        <v>2321.23</v>
      </c>
      <c r="F145" s="13" t="n">
        <f aca="false">E146</f>
        <v>3357.87131508805</v>
      </c>
      <c r="G145" s="13" t="n">
        <f aca="false">F146</f>
        <v>3396.51668348711</v>
      </c>
    </row>
    <row r="146" customFormat="false" ht="15" hidden="false" customHeight="true" outlineLevel="0" collapsed="false">
      <c r="B146" s="7" t="s">
        <v>480</v>
      </c>
      <c r="D146" s="15" t="n">
        <f aca="false">D144+D145</f>
        <v>2321.23</v>
      </c>
      <c r="E146" s="15" t="n">
        <f aca="false">E144+E145</f>
        <v>3357.87131508805</v>
      </c>
      <c r="F146" s="15" t="n">
        <f aca="false">F144+F145</f>
        <v>3396.51668348711</v>
      </c>
      <c r="G146" s="15" t="n">
        <f aca="false">G144+G145</f>
        <v>3936.90488787372</v>
      </c>
    </row>
    <row r="148" customFormat="false" ht="15" hidden="false" customHeight="true" outlineLevel="0" collapsed="false">
      <c r="B148" s="43" t="s">
        <v>481</v>
      </c>
      <c r="D148" s="81" t="n">
        <f aca="false">D146-D118</f>
        <v>1435.34</v>
      </c>
      <c r="E148" s="81" t="n">
        <f aca="false">E146-E118</f>
        <v>1686.9105</v>
      </c>
      <c r="F148" s="81" t="n">
        <f aca="false">F146-F118</f>
        <v>1775.361025</v>
      </c>
      <c r="G148" s="81" t="n">
        <f aca="false">G146-G118</f>
        <v>1863.23407625</v>
      </c>
      <c r="H148" s="46" t="s">
        <v>482</v>
      </c>
    </row>
    <row r="151" customFormat="false" ht="19.5" hidden="false" customHeight="true" outlineLevel="0" collapsed="false">
      <c r="B151" s="4" t="s">
        <v>483</v>
      </c>
      <c r="C151" s="4"/>
      <c r="D151" s="4"/>
      <c r="E151" s="4"/>
      <c r="F151" s="4"/>
      <c r="G151" s="4"/>
      <c r="H151" s="4"/>
    </row>
    <row r="153" customFormat="false" ht="15" hidden="false" customHeight="true" outlineLevel="0" collapsed="false">
      <c r="B153" s="51" t="s">
        <v>403</v>
      </c>
      <c r="D153" s="14" t="n">
        <f aca="false">D62</f>
        <v>3976.84</v>
      </c>
      <c r="E153" s="14" t="n">
        <f aca="false">E62</f>
        <v>951.069758887419</v>
      </c>
      <c r="F153" s="14" t="n">
        <f aca="false">F62</f>
        <v>1296.71701221533</v>
      </c>
      <c r="G153" s="14" t="n">
        <f aca="false">G62</f>
        <v>1634.5206844264</v>
      </c>
    </row>
    <row r="154" customFormat="false" ht="15" hidden="false" customHeight="true" outlineLevel="0" collapsed="false">
      <c r="B154" s="82" t="s">
        <v>484</v>
      </c>
      <c r="D154" s="13" t="n">
        <f aca="false">D153*0.255</f>
        <v>1014.0942</v>
      </c>
      <c r="E154" s="13" t="n">
        <f aca="false">E153*0.255</f>
        <v>242.522788516292</v>
      </c>
      <c r="F154" s="13" t="n">
        <f aca="false">F153*0.255</f>
        <v>330.662838114909</v>
      </c>
      <c r="G154" s="13" t="n">
        <f aca="false">G153*0.255</f>
        <v>416.802774528732</v>
      </c>
    </row>
    <row r="155" customFormat="false" ht="15" hidden="false" customHeight="true" outlineLevel="0" collapsed="false">
      <c r="B155" s="7" t="s">
        <v>485</v>
      </c>
      <c r="D155" s="15" t="n">
        <f aca="false">D153-D154</f>
        <v>2962.7458</v>
      </c>
      <c r="E155" s="15" t="n">
        <f aca="false">E153-E154</f>
        <v>708.546970371128</v>
      </c>
      <c r="F155" s="15" t="n">
        <f aca="false">F153-F154</f>
        <v>966.054174100421</v>
      </c>
      <c r="G155" s="15" t="n">
        <f aca="false">G153-G154</f>
        <v>1217.71790989767</v>
      </c>
    </row>
    <row r="156" customFormat="false" ht="15" hidden="false" customHeight="true" outlineLevel="0" collapsed="false">
      <c r="B156" s="51" t="s">
        <v>486</v>
      </c>
      <c r="D156" s="13" t="n">
        <f aca="false">D61</f>
        <v>453.92</v>
      </c>
      <c r="E156" s="13" t="n">
        <f aca="false">E61</f>
        <v>400.450424794703</v>
      </c>
      <c r="F156" s="13" t="n">
        <f aca="false">F61</f>
        <v>460.516322095164</v>
      </c>
      <c r="G156" s="13" t="n">
        <f aca="false">G61</f>
        <v>530.114816570724</v>
      </c>
    </row>
    <row r="157" customFormat="false" ht="15" hidden="false" customHeight="true" outlineLevel="0" collapsed="false">
      <c r="B157" s="82" t="s">
        <v>473</v>
      </c>
      <c r="D157" s="13" t="n">
        <f aca="false">D136</f>
        <v>-401.72</v>
      </c>
      <c r="E157" s="13" t="n">
        <f aca="false">E136</f>
        <v>-725</v>
      </c>
      <c r="F157" s="13" t="n">
        <f aca="false">F136</f>
        <v>-600</v>
      </c>
      <c r="G157" s="13" t="n">
        <f aca="false">G136</f>
        <v>-600</v>
      </c>
    </row>
    <row r="158" customFormat="false" ht="15" hidden="false" customHeight="true" outlineLevel="0" collapsed="false">
      <c r="B158" s="82" t="s">
        <v>487</v>
      </c>
      <c r="D158" s="13" t="n">
        <f aca="false">D133</f>
        <v>-1592.2</v>
      </c>
      <c r="E158" s="13" t="n">
        <f aca="false">E133</f>
        <v>1039.81909067222</v>
      </c>
      <c r="F158" s="13" t="n">
        <f aca="false">F133</f>
        <v>-171.774457046524</v>
      </c>
      <c r="G158" s="13" t="n">
        <f aca="false">G133</f>
        <v>125.947898668221</v>
      </c>
    </row>
    <row r="159" customFormat="false" ht="15" hidden="false" customHeight="true" outlineLevel="0" collapsed="false">
      <c r="B159" s="22" t="s">
        <v>488</v>
      </c>
      <c r="D159" s="69" t="n">
        <f aca="false">D155+D156+D157+D158</f>
        <v>1422.7458</v>
      </c>
      <c r="E159" s="69" t="n">
        <f aca="false">E155+E156+E157+E158</f>
        <v>1423.81648583805</v>
      </c>
      <c r="F159" s="69" t="n">
        <f aca="false">F155+F156+F157+F158</f>
        <v>654.796039149062</v>
      </c>
      <c r="G159" s="69" t="n">
        <f aca="false">G155+G156+G157+G158</f>
        <v>1273.78062513661</v>
      </c>
    </row>
  </sheetData>
  <mergeCells count="6">
    <mergeCell ref="B6:H6"/>
    <mergeCell ref="B20:H20"/>
    <mergeCell ref="B38:H38"/>
    <mergeCell ref="B75:H75"/>
    <mergeCell ref="B128:H128"/>
    <mergeCell ref="B151:H1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32"/>
    <col collapsed="false" customWidth="true" hidden="false" outlineLevel="0" max="10" min="3" style="1" width="13"/>
  </cols>
  <sheetData>
    <row r="2" customFormat="false" ht="17.25" hidden="false" customHeight="true" outlineLevel="0" collapsed="false">
      <c r="B2" s="32" t="s">
        <v>489</v>
      </c>
    </row>
    <row r="3" customFormat="false" ht="15" hidden="false" customHeight="true" outlineLevel="0" collapsed="false">
      <c r="B3" s="33" t="s">
        <v>490</v>
      </c>
    </row>
    <row r="5" customFormat="false" ht="19.5" hidden="false" customHeight="true" outlineLevel="0" collapsed="false">
      <c r="B5" s="4" t="s">
        <v>491</v>
      </c>
      <c r="C5" s="4"/>
      <c r="D5" s="4"/>
      <c r="E5" s="4"/>
      <c r="F5" s="4"/>
      <c r="G5" s="4"/>
      <c r="H5" s="4"/>
      <c r="I5" s="4"/>
      <c r="J5" s="4"/>
    </row>
    <row r="7" customFormat="false" ht="15" hidden="false" customHeight="true" outlineLevel="0" collapsed="false">
      <c r="B7" s="40" t="s">
        <v>492</v>
      </c>
      <c r="C7" s="41"/>
      <c r="D7" s="41"/>
      <c r="E7" s="41"/>
      <c r="F7" s="41"/>
      <c r="G7" s="41"/>
      <c r="H7" s="41"/>
      <c r="I7" s="41"/>
      <c r="J7" s="41"/>
    </row>
    <row r="8" customFormat="false" ht="15" hidden="false" customHeight="true" outlineLevel="0" collapsed="false">
      <c r="B8" s="9" t="s">
        <v>493</v>
      </c>
      <c r="C8" s="61" t="n">
        <v>0.068</v>
      </c>
      <c r="D8" s="37" t="s">
        <v>494</v>
      </c>
    </row>
    <row r="9" customFormat="false" ht="15" hidden="false" customHeight="true" outlineLevel="0" collapsed="false">
      <c r="B9" s="9" t="s">
        <v>495</v>
      </c>
      <c r="C9" s="61" t="n">
        <v>0.06</v>
      </c>
      <c r="D9" s="37" t="s">
        <v>496</v>
      </c>
    </row>
    <row r="10" customFormat="false" ht="15" hidden="false" customHeight="true" outlineLevel="0" collapsed="false">
      <c r="B10" s="9" t="s">
        <v>497</v>
      </c>
      <c r="C10" s="83" t="n">
        <v>1.05</v>
      </c>
      <c r="D10" s="37" t="s">
        <v>498</v>
      </c>
    </row>
    <row r="11" customFormat="false" ht="15" hidden="false" customHeight="true" outlineLevel="0" collapsed="false">
      <c r="B11" s="7" t="s">
        <v>499</v>
      </c>
      <c r="C11" s="84" t="n">
        <f aca="false">C8+C10*C9</f>
        <v>0.131</v>
      </c>
      <c r="D11" s="37" t="s">
        <v>500</v>
      </c>
    </row>
    <row r="12" customFormat="false" ht="15" hidden="false" customHeight="true" outlineLevel="0" collapsed="false">
      <c r="B12" s="9" t="s">
        <v>501</v>
      </c>
      <c r="C12" s="61" t="n">
        <v>0.105</v>
      </c>
      <c r="D12" s="37" t="s">
        <v>502</v>
      </c>
    </row>
    <row r="13" customFormat="false" ht="15" hidden="false" customHeight="true" outlineLevel="0" collapsed="false">
      <c r="B13" s="9" t="s">
        <v>503</v>
      </c>
      <c r="C13" s="61" t="n">
        <v>0.255</v>
      </c>
      <c r="D13" s="37" t="s">
        <v>504</v>
      </c>
    </row>
    <row r="14" customFormat="false" ht="15" hidden="false" customHeight="true" outlineLevel="0" collapsed="false">
      <c r="B14" s="7" t="s">
        <v>505</v>
      </c>
      <c r="C14" s="84" t="n">
        <f aca="false">C12*(1-C13)</f>
        <v>0.078225</v>
      </c>
      <c r="D14" s="37" t="s">
        <v>506</v>
      </c>
    </row>
    <row r="15" customFormat="false" ht="15" hidden="false" customHeight="true" outlineLevel="0" collapsed="false">
      <c r="B15" s="9" t="s">
        <v>507</v>
      </c>
      <c r="C15" s="58" t="n">
        <v>0.15</v>
      </c>
      <c r="D15" s="37" t="s">
        <v>508</v>
      </c>
    </row>
    <row r="16" customFormat="false" ht="15" hidden="false" customHeight="true" outlineLevel="0" collapsed="false">
      <c r="B16" s="9" t="s">
        <v>509</v>
      </c>
      <c r="C16" s="52" t="n">
        <f aca="false">1-C15</f>
        <v>0.85</v>
      </c>
      <c r="D16" s="37" t="s">
        <v>510</v>
      </c>
    </row>
    <row r="17" customFormat="false" ht="15" hidden="false" customHeight="true" outlineLevel="0" collapsed="false">
      <c r="B17" s="7" t="s">
        <v>511</v>
      </c>
      <c r="C17" s="84" t="n">
        <f aca="false">C16*C11+C15*C14</f>
        <v>0.12308375</v>
      </c>
      <c r="D17" s="37" t="s">
        <v>512</v>
      </c>
    </row>
    <row r="18" customFormat="false" ht="15" hidden="false" customHeight="true" outlineLevel="0" collapsed="false">
      <c r="B18" s="9" t="s">
        <v>513</v>
      </c>
      <c r="C18" s="58" t="n">
        <v>0.04</v>
      </c>
      <c r="D18" s="37" t="s">
        <v>514</v>
      </c>
    </row>
    <row r="21" customFormat="false" ht="15" hidden="false" customHeight="true" outlineLevel="0" collapsed="false">
      <c r="B21" s="40" t="s">
        <v>515</v>
      </c>
      <c r="C21" s="41"/>
      <c r="D21" s="41"/>
      <c r="E21" s="41"/>
      <c r="F21" s="41"/>
      <c r="G21" s="41"/>
      <c r="H21" s="41"/>
      <c r="I21" s="41"/>
      <c r="J21" s="41"/>
    </row>
    <row r="22" customFormat="false" ht="15" hidden="false" customHeight="true" outlineLevel="0" collapsed="false">
      <c r="C22" s="16" t="s">
        <v>17</v>
      </c>
      <c r="D22" s="16" t="s">
        <v>18</v>
      </c>
      <c r="E22" s="16" t="s">
        <v>19</v>
      </c>
      <c r="F22" s="16" t="s">
        <v>516</v>
      </c>
      <c r="G22" s="16" t="s">
        <v>517</v>
      </c>
      <c r="H22" s="16" t="s">
        <v>518</v>
      </c>
    </row>
    <row r="23" customFormat="false" ht="15" hidden="false" customHeight="true" outlineLevel="0" collapsed="false">
      <c r="B23" s="9" t="s">
        <v>519</v>
      </c>
      <c r="C23" s="14" t="n">
        <f aca="false">Projections!E159</f>
        <v>1423.81648583805</v>
      </c>
      <c r="D23" s="14" t="n">
        <f aca="false">Projections!F159</f>
        <v>654.796039149062</v>
      </c>
      <c r="E23" s="14" t="n">
        <f aca="false">Projections!G159</f>
        <v>1273.78062513661</v>
      </c>
      <c r="F23" s="13" t="n">
        <f aca="false">E23*(1+F24)</f>
        <v>1426.63430015301</v>
      </c>
      <c r="G23" s="13" t="n">
        <f aca="false">F23*(1+G24)</f>
        <v>1569.29773016831</v>
      </c>
      <c r="H23" s="13" t="n">
        <f aca="false">G23*(1+H24)</f>
        <v>1694.84154858177</v>
      </c>
    </row>
    <row r="24" customFormat="false" ht="15" hidden="false" customHeight="true" outlineLevel="0" collapsed="false">
      <c r="B24" s="17" t="s">
        <v>520</v>
      </c>
      <c r="F24" s="71" t="n">
        <v>0.12</v>
      </c>
      <c r="G24" s="71" t="n">
        <v>0.1</v>
      </c>
      <c r="H24" s="71" t="n">
        <v>0.08</v>
      </c>
    </row>
    <row r="25" customFormat="false" ht="15" hidden="false" customHeight="true" outlineLevel="0" collapsed="false">
      <c r="B25" s="7" t="s">
        <v>521</v>
      </c>
      <c r="H25" s="15" t="n">
        <f aca="false">H23*(1+C18)/(C17-C18)</f>
        <v>21215.1619362997</v>
      </c>
    </row>
    <row r="26" customFormat="false" ht="15" hidden="false" customHeight="true" outlineLevel="0" collapsed="false">
      <c r="B26" s="17" t="s">
        <v>522</v>
      </c>
      <c r="C26" s="85" t="n">
        <v>1</v>
      </c>
      <c r="D26" s="85" t="n">
        <v>2</v>
      </c>
      <c r="E26" s="85" t="n">
        <v>3</v>
      </c>
      <c r="F26" s="85" t="n">
        <v>4</v>
      </c>
      <c r="G26" s="85" t="n">
        <v>5</v>
      </c>
      <c r="H26" s="85" t="n">
        <v>6</v>
      </c>
    </row>
    <row r="27" customFormat="false" ht="15" hidden="false" customHeight="true" outlineLevel="0" collapsed="false">
      <c r="B27" s="17" t="s">
        <v>523</v>
      </c>
      <c r="C27" s="86" t="n">
        <f aca="false">1/(1+$C$17)^C26</f>
        <v>0.890405546336148</v>
      </c>
      <c r="D27" s="86" t="n">
        <f aca="false">1/(1+$C$17)^D26</f>
        <v>0.792822036946175</v>
      </c>
      <c r="E27" s="86" t="n">
        <f aca="false">1/(1+$C$17)^E26</f>
        <v>0.705933138954396</v>
      </c>
      <c r="F27" s="86" t="n">
        <f aca="false">1/(1+$C$17)^F26</f>
        <v>0.628566782267481</v>
      </c>
      <c r="G27" s="86" t="n">
        <f aca="false">1/(1+$C$17)^G26</f>
        <v>0.559679349173631</v>
      </c>
      <c r="H27" s="86" t="n">
        <f aca="false">1/(1+$C$17)^H26</f>
        <v>0.498341596674007</v>
      </c>
    </row>
    <row r="28" customFormat="false" ht="15" hidden="false" customHeight="true" outlineLevel="0" collapsed="false">
      <c r="B28" s="9" t="s">
        <v>524</v>
      </c>
      <c r="C28" s="13" t="n">
        <f aca="false">C23*C27</f>
        <v>1267.77409595505</v>
      </c>
      <c r="D28" s="13" t="n">
        <f aca="false">D23*D27</f>
        <v>519.136729542446</v>
      </c>
      <c r="E28" s="13" t="n">
        <f aca="false">E23*E27</f>
        <v>899.203955041981</v>
      </c>
      <c r="F28" s="13" t="n">
        <f aca="false">F23*F27</f>
        <v>896.734931519594</v>
      </c>
      <c r="G28" s="13" t="n">
        <f aca="false">G23*G27</f>
        <v>878.303532280254</v>
      </c>
      <c r="H28" s="13" t="n">
        <f aca="false">H23*H27</f>
        <v>844.610043429686</v>
      </c>
    </row>
    <row r="29" customFormat="false" ht="15" hidden="false" customHeight="true" outlineLevel="0" collapsed="false">
      <c r="B29" s="9" t="s">
        <v>525</v>
      </c>
      <c r="H29" s="13" t="n">
        <f aca="false">H25*H27</f>
        <v>10572.3976730332</v>
      </c>
    </row>
    <row r="32" customFormat="false" ht="15" hidden="false" customHeight="true" outlineLevel="0" collapsed="false">
      <c r="B32" s="40" t="s">
        <v>526</v>
      </c>
      <c r="C32" s="41"/>
      <c r="D32" s="41"/>
      <c r="E32" s="41"/>
      <c r="F32" s="41"/>
      <c r="G32" s="41"/>
      <c r="H32" s="41"/>
      <c r="I32" s="41"/>
      <c r="J32" s="41"/>
    </row>
    <row r="33" customFormat="false" ht="15" hidden="false" customHeight="true" outlineLevel="0" collapsed="false">
      <c r="B33" s="9" t="s">
        <v>527</v>
      </c>
      <c r="C33" s="13" t="n">
        <f aca="false">SUM(C28:H28)</f>
        <v>5305.76328776901</v>
      </c>
    </row>
    <row r="34" customFormat="false" ht="15" hidden="false" customHeight="true" outlineLevel="0" collapsed="false">
      <c r="B34" s="9" t="s">
        <v>525</v>
      </c>
      <c r="C34" s="13" t="n">
        <f aca="false">H29</f>
        <v>10572.3976730332</v>
      </c>
    </row>
    <row r="35" customFormat="false" ht="15" hidden="false" customHeight="true" outlineLevel="0" collapsed="false">
      <c r="B35" s="7" t="s">
        <v>528</v>
      </c>
      <c r="C35" s="15" t="n">
        <f aca="false">C33+C34</f>
        <v>15878.1609608022</v>
      </c>
    </row>
    <row r="36" customFormat="false" ht="15" hidden="false" customHeight="true" outlineLevel="0" collapsed="false">
      <c r="B36" s="9" t="s">
        <v>529</v>
      </c>
      <c r="C36" s="13" t="n">
        <f aca="false">-(Historicals!G216-Historicals!G225)</f>
        <v>-2652.38</v>
      </c>
    </row>
    <row r="37" customFormat="false" ht="15" hidden="false" customHeight="true" outlineLevel="0" collapsed="false">
      <c r="B37" s="7" t="s">
        <v>530</v>
      </c>
      <c r="C37" s="15" t="n">
        <f aca="false">C35+C36</f>
        <v>13225.7809608022</v>
      </c>
    </row>
    <row r="38" customFormat="false" ht="15" hidden="false" customHeight="true" outlineLevel="0" collapsed="false">
      <c r="B38" s="9" t="s">
        <v>531</v>
      </c>
      <c r="C38" s="36" t="n">
        <v>36.798</v>
      </c>
    </row>
    <row r="39" customFormat="false" ht="15" hidden="false" customHeight="true" outlineLevel="0" collapsed="false">
      <c r="B39" s="7" t="s">
        <v>532</v>
      </c>
      <c r="C39" s="23" t="n">
        <f aca="false">C37/C38</f>
        <v>359.415755225888</v>
      </c>
    </row>
    <row r="40" customFormat="false" ht="15" hidden="false" customHeight="true" outlineLevel="0" collapsed="false">
      <c r="B40" s="9" t="s">
        <v>533</v>
      </c>
      <c r="C40" s="36" t="n">
        <v>305.45</v>
      </c>
    </row>
    <row r="41" customFormat="false" ht="15" hidden="false" customHeight="true" outlineLevel="0" collapsed="false">
      <c r="B41" s="9" t="s">
        <v>534</v>
      </c>
      <c r="C41" s="52" t="n">
        <f aca="false">C39/C40-1</f>
        <v>0.176676232528689</v>
      </c>
    </row>
    <row r="43" customFormat="false" ht="15" hidden="false" customHeight="true" outlineLevel="0" collapsed="false">
      <c r="B43" s="40" t="s">
        <v>535</v>
      </c>
      <c r="C43" s="41"/>
      <c r="D43" s="41"/>
      <c r="E43" s="41"/>
      <c r="F43" s="41"/>
      <c r="G43" s="41"/>
      <c r="H43" s="41"/>
      <c r="I43" s="41"/>
      <c r="J43" s="41"/>
    </row>
    <row r="45" customFormat="false" ht="15" hidden="false" customHeight="true" outlineLevel="0" collapsed="false">
      <c r="B45" s="87" t="s">
        <v>536</v>
      </c>
      <c r="D45" s="88" t="n">
        <f aca="false">$C$17+-0.015</f>
        <v>0.10808375</v>
      </c>
      <c r="E45" s="88" t="n">
        <f aca="false">$C$17+-0.01</f>
        <v>0.11308375</v>
      </c>
      <c r="F45" s="88" t="n">
        <f aca="false">$C$17+-0.005</f>
        <v>0.11808375</v>
      </c>
      <c r="G45" s="88" t="n">
        <f aca="false">$C$17+0</f>
        <v>0.12308375</v>
      </c>
      <c r="H45" s="88" t="n">
        <f aca="false">$C$17+0.005</f>
        <v>0.12808375</v>
      </c>
      <c r="I45" s="88" t="n">
        <f aca="false">$C$17+0.01</f>
        <v>0.13308375</v>
      </c>
      <c r="J45" s="88" t="n">
        <f aca="false">$C$17+0.015</f>
        <v>0.13808375</v>
      </c>
    </row>
    <row r="46" customFormat="false" ht="15" hidden="false" customHeight="true" outlineLevel="0" collapsed="false">
      <c r="B46" s="89" t="n">
        <v>0.03</v>
      </c>
      <c r="D46" s="13" t="n">
        <f aca="false">($C$23/(1+($C$17+-0.015))^1+$D$23/(1+($C$17+-0.015))^2+$E$23/(1+($C$17+-0.015))^3+$F$23/(1+($C$17+-0.015))^4+$G$23/(1+($C$17+-0.015))^5+$H$23/(1+($C$17+-0.015))^6+($H$23*(1+$B46)/(($C$17+-0.015)-$B46))/(1+($C$17+-0.015))^6-(Historicals!G216-Historicals!G225))/C38</f>
        <v>407.10394768917</v>
      </c>
      <c r="E46" s="13" t="n">
        <f aca="false">($C$23/(1+($C$17+-0.01))^1+$D$23/(1+($C$17+-0.01))^2+$E$23/(1+($C$17+-0.01))^3+$F$23/(1+($C$17+-0.01))^4+$G$23/(1+($C$17+-0.01))^5+$H$23/(1+($C$17+-0.01))^6+($H$23*(1+$B46)/(($C$17+-0.01)-$B46))/(1+($C$17+-0.01))^6-(Historicals!G216-Historicals!G225))/C38</f>
        <v>376.813371338871</v>
      </c>
      <c r="F46" s="13" t="n">
        <f aca="false">($C$23/(1+($C$17+-0.005))^1+$D$23/(1+($C$17+-0.005))^2+$E$23/(1+($C$17+-0.005))^3+$F$23/(1+($C$17+-0.005))^4+$G$23/(1+($C$17+-0.005))^5+$H$23/(1+($C$17+-0.005))^6+($H$23*(1+$B46)/(($C$17+-0.005)-$B46))/(1+($C$17+-0.005))^6-(Historicals!G216-Historicals!G225))/C38</f>
        <v>349.993511383736</v>
      </c>
      <c r="G46" s="13" t="n">
        <f aca="false">($C$23/(1+($C$17+0))^1+$D$23/(1+($C$17+0))^2+$E$23/(1+($C$17+0))^3+$F$23/(1+($C$17+0))^4+$G$23/(1+($C$17+0))^5+$H$23/(1+($C$17+0))^6+($H$23*(1+$B46)/(($C$17+0)-$B46))/(1+($C$17+0))^6-(Historicals!G216-Historicals!G225))/C38</f>
        <v>326.084305112483</v>
      </c>
      <c r="H46" s="13" t="n">
        <f aca="false">($C$23/(1+($C$17+0.005))^1+$D$23/(1+($C$17+0.005))^2+$E$23/(1+($C$17+0.005))^3+$F$23/(1+($C$17+0.005))^4+$G$23/(1+($C$17+0.005))^5+$H$23/(1+($C$17+0.005))^6+($H$23*(1+$B46)/(($C$17+0.005)-$B46))/(1+($C$17+0.005))^6-(Historicals!G216-Historicals!G225))/C38</f>
        <v>304.639912759427</v>
      </c>
      <c r="I46" s="13" t="n">
        <f aca="false">($C$23/(1+($C$17+0.01))^1+$D$23/(1+($C$17+0.01))^2+$E$23/(1+($C$17+0.01))^3+$F$23/(1+($C$17+0.01))^4+$G$23/(1+($C$17+0.01))^5+$H$23/(1+($C$17+0.01))^6+($H$23*(1+$B46)/(($C$17+0.01)-$B46))/(1+($C$17+0.01))^6-(Historicals!G216-Historicals!G225))/C38</f>
        <v>285.301015285645</v>
      </c>
      <c r="J46" s="13" t="n">
        <f aca="false">($C$23/(1+($C$17+0.015))^1+$D$23/(1+($C$17+0.015))^2+$E$23/(1+($C$17+0.015))^3+$F$23/(1+($C$17+0.015))^4+$G$23/(1+($C$17+0.015))^5+$H$23/(1+($C$17+0.015))^6+($H$23*(1+$B46)/(($C$17+0.015)-$B46))/(1+($C$17+0.015))^6-(Historicals!G216-Historicals!G225))/C38</f>
        <v>267.774801285629</v>
      </c>
    </row>
    <row r="47" customFormat="false" ht="15" hidden="false" customHeight="true" outlineLevel="0" collapsed="false">
      <c r="B47" s="89" t="n">
        <v>0.035</v>
      </c>
      <c r="D47" s="13" t="n">
        <f aca="false">($C$23/(1+($C$17+-0.015))^1+$D$23/(1+($C$17+-0.015))^2+$E$23/(1+($C$17+-0.015))^3+$F$23/(1+($C$17+-0.015))^4+$G$23/(1+($C$17+-0.015))^5+$H$23/(1+($C$17+-0.015))^6+($H$23*(1+$B47)/(($C$17+-0.015)-$B47))/(1+($C$17+-0.015))^6-(Historicals!G216-Historicals!G225))/C38</f>
        <v>431.260251087715</v>
      </c>
      <c r="E47" s="13" t="n">
        <f aca="false">($C$23/(1+($C$17+-0.01))^1+$D$23/(1+($C$17+-0.01))^2+$E$23/(1+($C$17+-0.01))^3+$F$23/(1+($C$17+-0.01))^4+$G$23/(1+($C$17+-0.01))^5+$H$23/(1+($C$17+-0.01))^6+($H$23*(1+$B47)/(($C$17+-0.01)-$B47))/(1+($C$17+-0.01))^6-(Historicals!G216-Historicals!G225))/C38</f>
        <v>397.589227329113</v>
      </c>
      <c r="F47" s="13" t="n">
        <f aca="false">($C$23/(1+($C$17+-0.005))^1+$D$23/(1+($C$17+-0.005))^2+$E$23/(1+($C$17+-0.005))^3+$F$23/(1+($C$17+-0.005))^4+$G$23/(1+($C$17+-0.005))^5+$H$23/(1+($C$17+-0.005))^6+($H$23*(1+$B47)/(($C$17+-0.005)-$B47))/(1+($C$17+-0.005))^6-(Historicals!G216-Historicals!G225))/C38</f>
        <v>368.002583101718</v>
      </c>
      <c r="G47" s="13" t="n">
        <f aca="false">($C$23/(1+($C$17+0))^1+$D$23/(1+($C$17+0))^2+$E$23/(1+($C$17+0))^3+$F$23/(1+($C$17+0))^4+$G$23/(1+($C$17+0))^5+$H$23/(1+($C$17+0))^6+($H$23*(1+$B47)/(($C$17+0)-$B47))/(1+($C$17+0))^6-(Historicals!G216-Historicals!G225))/C38</f>
        <v>341.804014300384</v>
      </c>
      <c r="H47" s="13" t="n">
        <f aca="false">($C$23/(1+($C$17+0.005))^1+$D$23/(1+($C$17+0.005))^2+$E$23/(1+($C$17+0.005))^3+$F$23/(1+($C$17+0.005))^4+$G$23/(1+($C$17+0.005))^5+$H$23/(1+($C$17+0.005))^6+($H$23*(1+$B47)/(($C$17+0.005)-$B47))/(1+($C$17+0.005))^6-(Historicals!G216-Historicals!G225))/C38</f>
        <v>318.446846547093</v>
      </c>
      <c r="I47" s="13" t="n">
        <f aca="false">($C$23/(1+($C$17+0.01))^1+$D$23/(1+($C$17+0.01))^2+$E$23/(1+($C$17+0.01))^3+$F$23/(1+($C$17+0.01))^4+$G$23/(1+($C$17+0.01))^5+$H$23/(1+($C$17+0.01))^6+($H$23*(1+$B47)/(($C$17+0.01)-$B47))/(1+($C$17+0.01))^6-(Historicals!G216-Historicals!G225))/C38</f>
        <v>297.495896225286</v>
      </c>
      <c r="J47" s="13" t="n">
        <f aca="false">($C$23/(1+($C$17+0.015))^1+$D$23/(1+($C$17+0.015))^2+$E$23/(1+($C$17+0.015))^3+$F$23/(1+($C$17+0.015))^4+$G$23/(1+($C$17+0.015))^5+$H$23/(1+($C$17+0.015))^6+($H$23*(1+$B47)/(($C$17+0.015)-$B47))/(1+($C$17+0.015))^6-(Historicals!G216-Historicals!G225))/C38</f>
        <v>278.60043095229</v>
      </c>
    </row>
    <row r="48" customFormat="false" ht="15" hidden="false" customHeight="true" outlineLevel="0" collapsed="false">
      <c r="B48" s="89" t="n">
        <v>0.04</v>
      </c>
      <c r="D48" s="13" t="n">
        <f aca="false">($C$23/(1+($C$17+-0.015))^1+$D$23/(1+($C$17+-0.015))^2+$E$23/(1+($C$17+-0.015))^3+$F$23/(1+($C$17+-0.015))^4+$G$23/(1+($C$17+-0.015))^5+$H$23/(1+($C$17+-0.015))^6+($H$23*(1+$B48)/(($C$17+-0.015)-$B48))/(1+($C$17+-0.015))^6-(Historicals!G216-Historicals!G225))/C38</f>
        <v>458.964582231286</v>
      </c>
      <c r="E48" s="13" t="n">
        <f aca="false">($C$23/(1+($C$17+-0.01))^1+$D$23/(1+($C$17+-0.01))^2+$E$23/(1+($C$17+-0.01))^3+$F$23/(1+($C$17+-0.01))^4+$G$23/(1+($C$17+-0.01))^5+$H$23/(1+($C$17+-0.01))^6+($H$23*(1+$B48)/(($C$17+-0.01)-$B48))/(1+($C$17+-0.01))^6-(Historicals!G216-Historicals!G225))/C38</f>
        <v>421.207829619351</v>
      </c>
      <c r="F48" s="13" t="n">
        <f aca="false">($C$23/(1+($C$17+-0.005))^1+$D$23/(1+($C$17+-0.005))^2+$E$23/(1+($C$17+-0.005))^3+$F$23/(1+($C$17+-0.005))^4+$G$23/(1+($C$17+-0.005))^5+$H$23/(1+($C$17+-0.005))^6+($H$23*(1+$B48)/(($C$17+-0.005)-$B48))/(1+($C$17+-0.005))^6-(Historicals!G216-Historicals!G225))/C38</f>
        <v>388.318033767686</v>
      </c>
      <c r="G48" s="90" t="n">
        <f aca="false">($C$23/(1+($C$17+0))^1+$D$23/(1+($C$17+0))^2+$E$23/(1+($C$17+0))^3+$F$23/(1+($C$17+0))^4+$G$23/(1+($C$17+0))^5+$H$23/(1+($C$17+0))^6+($H$23*(1+$B48)/(($C$17+0)-$B48))/(1+($C$17+0))^6-(Historicals!G216-Historicals!G225))/C38</f>
        <v>359.415755225888</v>
      </c>
      <c r="H48" s="13" t="n">
        <f aca="false">($C$23/(1+($C$17+0.005))^1+$D$23/(1+($C$17+0.005))^2+$E$23/(1+($C$17+0.005))^3+$F$23/(1+($C$17+0.005))^4+$G$23/(1+($C$17+0.005))^5+$H$23/(1+($C$17+0.005))^6+($H$23*(1+$B48)/(($C$17+0.005)-$B48))/(1+($C$17+0.005))^6-(Historicals!G216-Historicals!G225))/C38</f>
        <v>333.821258307445</v>
      </c>
      <c r="I48" s="13" t="n">
        <f aca="false">($C$23/(1+($C$17+0.01))^1+$D$23/(1+($C$17+0.01))^2+$E$23/(1+($C$17+0.01))^3+$F$23/(1+($C$17+0.01))^4+$G$23/(1+($C$17+0.01))^5+$H$23/(1+($C$17+0.01))^6+($H$23*(1+$B48)/(($C$17+0.01)-$B48))/(1+($C$17+0.01))^6-(Historicals!G216-Historicals!G225))/C38</f>
        <v>311.000874893009</v>
      </c>
      <c r="J48" s="13" t="n">
        <f aca="false">($C$23/(1+($C$17+0.015))^1+$D$23/(1+($C$17+0.015))^2+$E$23/(1+($C$17+0.015))^3+$F$23/(1+($C$17+0.015))^4+$G$23/(1+($C$17+0.015))^5+$H$23/(1+($C$17+0.015))^6+($H$23*(1+$B48)/(($C$17+0.015)-$B48))/(1+($C$17+0.015))^6-(Historicals!G216-Historicals!G225))/C38</f>
        <v>290.529773483381</v>
      </c>
    </row>
    <row r="49" customFormat="false" ht="15" hidden="false" customHeight="true" outlineLevel="0" collapsed="false">
      <c r="B49" s="89" t="n">
        <v>0.045</v>
      </c>
      <c r="D49" s="13" t="n">
        <f aca="false">($C$23/(1+($C$17+-0.015))^1+$D$23/(1+($C$17+-0.015))^2+$E$23/(1+($C$17+-0.015))^3+$F$23/(1+($C$17+-0.015))^4+$G$23/(1+($C$17+-0.015))^5+$H$23/(1+($C$17+-0.015))^6+($H$23*(1+$B49)/(($C$17+-0.015)-$B49))/(1+($C$17+-0.015))^6-(Historicals!G216-Historicals!G225))/C38</f>
        <v>491.060588115748</v>
      </c>
      <c r="E49" s="13" t="n">
        <f aca="false">($C$23/(1+($C$17+-0.01))^1+$D$23/(1+($C$17+-0.01))^2+$E$23/(1+($C$17+-0.01))^3+$F$23/(1+($C$17+-0.01))^4+$G$23/(1+($C$17+-0.01))^5+$H$23/(1+($C$17+-0.01))^6+($H$23*(1+$B49)/(($C$17+-0.01)-$B49))/(1+($C$17+-0.01))^6-(Historicals!G216-Historicals!G225))/C38</f>
        <v>448.295483230975</v>
      </c>
      <c r="F49" s="13" t="n">
        <f aca="false">($C$23/(1+($C$17+-0.005))^1+$D$23/(1+($C$17+-0.005))^2+$E$23/(1+($C$17+-0.005))^3+$F$23/(1+($C$17+-0.005))^4+$G$23/(1+($C$17+-0.005))^5+$H$23/(1+($C$17+-0.005))^6+($H$23*(1+$B49)/(($C$17+-0.005)-$B49))/(1+($C$17+-0.005))^6-(Historicals!G216-Historicals!G225))/C38</f>
        <v>411.413233785044</v>
      </c>
      <c r="G49" s="13" t="n">
        <f aca="false">($C$23/(1+($C$17+0))^1+$D$23/(1+($C$17+0))^2+$E$23/(1+($C$17+0))^3+$F$23/(1+($C$17+0))^4+$G$23/(1+($C$17+0))^5+$H$23/(1+($C$17+0))^6+($H$23*(1+$B49)/(($C$17+0)-$B49))/(1+($C$17+0))^6-(Historicals!G216-Historicals!G225))/C38</f>
        <v>379.28298989055</v>
      </c>
      <c r="H49" s="13" t="n">
        <f aca="false">($C$23/(1+($C$17+0.005))^1+$D$23/(1+($C$17+0.005))^2+$E$23/(1+($C$17+0.005))^3+$F$23/(1+($C$17+0.005))^4+$G$23/(1+($C$17+0.005))^5+$H$23/(1+($C$17+0.005))^6+($H$23*(1+$B49)/(($C$17+0.005)-$B49))/(1+($C$17+0.005))^6-(Historicals!G216-Historicals!G225))/C38</f>
        <v>351.046141641403</v>
      </c>
      <c r="I49" s="13" t="n">
        <f aca="false">($C$23/(1+($C$17+0.01))^1+$D$23/(1+($C$17+0.01))^2+$E$23/(1+($C$17+0.01))^3+$F$23/(1+($C$17+0.01))^4+$G$23/(1+($C$17+0.01))^5+$H$23/(1+($C$17+0.01))^6+($H$23*(1+$B49)/(($C$17+0.01)-$B49))/(1+($C$17+0.01))^6-(Historicals!G216-Historicals!G225))/C38</f>
        <v>326.039051076474</v>
      </c>
      <c r="J49" s="13" t="n">
        <f aca="false">($C$23/(1+($C$17+0.015))^1+$D$23/(1+($C$17+0.015))^2+$E$23/(1+($C$17+0.015))^3+$F$23/(1+($C$17+0.015))^4+$G$23/(1+($C$17+0.015))^5+$H$23/(1+($C$17+0.015))^6+($H$23*(1+$B49)/(($C$17+0.015)-$B49))/(1+($C$17+0.015))^6-(Historicals!G216-Historicals!G225))/C38</f>
        <v>303.740686914988</v>
      </c>
    </row>
    <row r="50" customFormat="false" ht="15" hidden="false" customHeight="true" outlineLevel="0" collapsed="false">
      <c r="B50" s="89" t="n">
        <v>0.05</v>
      </c>
      <c r="D50" s="13" t="n">
        <f aca="false">($C$23/(1+($C$17+-0.015))^1+$D$23/(1+($C$17+-0.015))^2+$E$23/(1+($C$17+-0.015))^3+$F$23/(1+($C$17+-0.015))^4+$G$23/(1+($C$17+-0.015))^5+$H$23/(1+($C$17+-0.015))^6+($H$23*(1+$B50)/(($C$17+-0.015)-$B50))/(1+($C$17+-0.015))^6-(Historicals!G216-Historicals!G225))/C38</f>
        <v>528.682409031861</v>
      </c>
      <c r="E50" s="13" t="n">
        <f aca="false">($C$23/(1+($C$17+-0.01))^1+$D$23/(1+($C$17+-0.01))^2+$E$23/(1+($C$17+-0.01))^3+$F$23/(1+($C$17+-0.01))^4+$G$23/(1+($C$17+-0.01))^5+$H$23/(1+($C$17+-0.01))^6+($H$23*(1+$B50)/(($C$17+-0.01)-$B50))/(1+($C$17+-0.01))^6-(Historicals!G216-Historicals!G225))/C38</f>
        <v>479.677056213534</v>
      </c>
      <c r="F50" s="13" t="n">
        <f aca="false">($C$23/(1+($C$17+-0.005))^1+$D$23/(1+($C$17+-0.005))^2+$E$23/(1+($C$17+-0.005))^3+$F$23/(1+($C$17+-0.005))^4+$G$23/(1+($C$17+-0.005))^5+$H$23/(1+($C$17+-0.005))^6+($H$23*(1+$B50)/(($C$17+-0.005)-$B50))/(1+($C$17+-0.005))^6-(Historicals!G216-Historicals!G225))/C38</f>
        <v>437.900608883441</v>
      </c>
      <c r="G50" s="13" t="n">
        <f aca="false">($C$23/(1+($C$17+0))^1+$D$23/(1+($C$17+0))^2+$E$23/(1+($C$17+0))^3+$F$23/(1+($C$17+0))^4+$G$23/(1+($C$17+0))^5+$H$23/(1+($C$17+0))^6+($H$23*(1+$B50)/(($C$17+0)-$B50))/(1+($C$17+0))^6-(Historicals!G216-Historicals!G225))/C38</f>
        <v>401.868644814801</v>
      </c>
      <c r="H50" s="13" t="n">
        <f aca="false">($C$23/(1+($C$17+0.005))^1+$D$23/(1+($C$17+0.005))^2+$E$23/(1+($C$17+0.005))^3+$F$23/(1+($C$17+0.005))^4+$G$23/(1+($C$17+0.005))^5+$H$23/(1+($C$17+0.005))^6+($H$23*(1+$B50)/(($C$17+0.005)-$B50))/(1+($C$17+0.005))^6-(Historicals!G216-Historicals!G225))/C38</f>
        <v>370.476974783606</v>
      </c>
      <c r="I50" s="13" t="n">
        <f aca="false">($C$23/(1+($C$17+0.01))^1+$D$23/(1+($C$17+0.01))^2+$E$23/(1+($C$17+0.01))^3+$F$23/(1+($C$17+0.01))^4+$G$23/(1+($C$17+0.01))^5+$H$23/(1+($C$17+0.01))^6+($H$23*(1+$B50)/(($C$17+0.01)-$B50))/(1+($C$17+0.01))^6-(Historicals!G216-Historicals!G225))/C38</f>
        <v>342.88722935824</v>
      </c>
      <c r="J50" s="13" t="n">
        <f aca="false">($C$23/(1+($C$17+0.015))^1+$D$23/(1+($C$17+0.015))^2+$E$23/(1+($C$17+0.015))^3+$F$23/(1+($C$17+0.015))^4+$G$23/(1+($C$17+0.015))^5+$H$23/(1+($C$17+0.015))^6+($H$23*(1+$B50)/(($C$17+0.015)-$B50))/(1+($C$17+0.015))^6-(Historicals!G216-Historicals!G225))/C38</f>
        <v>318.451413130635</v>
      </c>
    </row>
    <row r="53" customFormat="false" ht="19.5" hidden="false" customHeight="true" outlineLevel="0" collapsed="false">
      <c r="B53" s="4" t="s">
        <v>537</v>
      </c>
      <c r="C53" s="4"/>
      <c r="D53" s="4"/>
      <c r="E53" s="4"/>
      <c r="F53" s="4"/>
      <c r="G53" s="4"/>
      <c r="H53" s="4"/>
      <c r="I53" s="4"/>
      <c r="J53" s="4"/>
    </row>
    <row r="55" customFormat="false" ht="15" hidden="false" customHeight="true" outlineLevel="0" collapsed="false">
      <c r="B55" s="40" t="s">
        <v>538</v>
      </c>
      <c r="C55" s="41"/>
      <c r="D55" s="41"/>
      <c r="E55" s="41"/>
      <c r="F55" s="41"/>
      <c r="G55" s="41"/>
      <c r="H55" s="41"/>
      <c r="I55" s="41"/>
      <c r="J55" s="41"/>
    </row>
    <row r="56" customFormat="false" ht="15" hidden="false" customHeight="true" outlineLevel="0" collapsed="false">
      <c r="B56" s="16" t="s">
        <v>539</v>
      </c>
      <c r="C56" s="16" t="s">
        <v>540</v>
      </c>
      <c r="D56" s="16" t="s">
        <v>541</v>
      </c>
      <c r="E56" s="16" t="s">
        <v>542</v>
      </c>
      <c r="F56" s="16" t="s">
        <v>543</v>
      </c>
    </row>
    <row r="57" customFormat="false" ht="15" hidden="false" customHeight="true" outlineLevel="0" collapsed="false">
      <c r="B57" s="9" t="s">
        <v>544</v>
      </c>
      <c r="C57" s="91" t="n">
        <v>34.3</v>
      </c>
      <c r="D57" s="91" t="n">
        <v>3.5</v>
      </c>
      <c r="E57" s="91" t="n">
        <v>20.3</v>
      </c>
      <c r="F57" s="54" t="n">
        <v>0.1</v>
      </c>
      <c r="G57" s="37" t="s">
        <v>545</v>
      </c>
    </row>
    <row r="58" customFormat="false" ht="15" hidden="false" customHeight="true" outlineLevel="0" collapsed="false">
      <c r="B58" s="9" t="s">
        <v>546</v>
      </c>
      <c r="C58" s="91" t="n">
        <v>20.7</v>
      </c>
      <c r="D58" s="91" t="n">
        <v>2</v>
      </c>
      <c r="E58" s="91" t="n">
        <v>11.5</v>
      </c>
      <c r="F58" s="54" t="n">
        <v>0.075</v>
      </c>
      <c r="G58" s="37" t="s">
        <v>547</v>
      </c>
    </row>
    <row r="59" customFormat="false" ht="15" hidden="false" customHeight="true" outlineLevel="0" collapsed="false">
      <c r="B59" s="9" t="s">
        <v>548</v>
      </c>
      <c r="C59" s="91" t="n">
        <v>30.2</v>
      </c>
      <c r="D59" s="91" t="n">
        <v>2.5</v>
      </c>
      <c r="E59" s="91" t="n">
        <v>12.2</v>
      </c>
      <c r="F59" s="54" t="n">
        <v>0.085</v>
      </c>
      <c r="G59" s="37" t="s">
        <v>549</v>
      </c>
    </row>
    <row r="60" customFormat="false" ht="15" hidden="false" customHeight="true" outlineLevel="0" collapsed="false">
      <c r="B60" s="9" t="s">
        <v>550</v>
      </c>
      <c r="C60" s="91" t="n">
        <v>14.1</v>
      </c>
      <c r="D60" s="91" t="n">
        <v>1.3</v>
      </c>
      <c r="E60" s="91" t="n">
        <v>7.8</v>
      </c>
      <c r="F60" s="54" t="n">
        <v>0.087</v>
      </c>
      <c r="G60" s="37" t="s">
        <v>551</v>
      </c>
    </row>
    <row r="61" customFormat="false" ht="15" hidden="false" customHeight="true" outlineLevel="0" collapsed="false">
      <c r="B61" s="9" t="s">
        <v>552</v>
      </c>
      <c r="C61" s="91" t="n">
        <v>25.6</v>
      </c>
      <c r="D61" s="91" t="n">
        <v>2.4</v>
      </c>
      <c r="E61" s="91" t="n">
        <v>18.5</v>
      </c>
      <c r="F61" s="54" t="n">
        <v>0.085</v>
      </c>
      <c r="G61" s="37" t="s">
        <v>553</v>
      </c>
    </row>
    <row r="62" customFormat="false" ht="15" hidden="false" customHeight="true" outlineLevel="0" collapsed="false">
      <c r="B62" s="7" t="s">
        <v>554</v>
      </c>
      <c r="C62" s="92" t="n">
        <f aca="false">MEDIAN(C58:C61)</f>
        <v>23.15</v>
      </c>
      <c r="D62" s="92" t="n">
        <f aca="false">MEDIAN(D58:D61)</f>
        <v>2.2</v>
      </c>
      <c r="E62" s="92" t="n">
        <f aca="false">MEDIAN(E58:E61)</f>
        <v>11.85</v>
      </c>
      <c r="F62" s="93" t="n">
        <f aca="false">MEDIAN(F58:F61)</f>
        <v>0.085</v>
      </c>
    </row>
    <row r="63" customFormat="false" ht="15" hidden="false" customHeight="true" outlineLevel="0" collapsed="false">
      <c r="B63" s="7" t="s">
        <v>555</v>
      </c>
      <c r="C63" s="94" t="n">
        <f aca="false">(C40*C38)/Historicals!G31</f>
        <v>44.8271081598473</v>
      </c>
      <c r="D63" s="94" t="n">
        <f aca="false">(C40*C38)/Historicals!G99</f>
        <v>2.06215652279207</v>
      </c>
      <c r="E63" s="94" t="n">
        <f aca="false">((C40*C38)+(Historicals!G216-Historicals!G225))/Historicals!G210</f>
        <v>11.414193540436</v>
      </c>
      <c r="F63" s="11" t="n">
        <f aca="false">Historicals!G210/Historicals!G8</f>
        <v>0.101864018385756</v>
      </c>
    </row>
    <row r="66" customFormat="false" ht="15" hidden="false" customHeight="true" outlineLevel="0" collapsed="false">
      <c r="B66" s="40" t="s">
        <v>556</v>
      </c>
      <c r="C66" s="41"/>
      <c r="D66" s="41"/>
      <c r="E66" s="41"/>
      <c r="F66" s="41"/>
      <c r="G66" s="41"/>
      <c r="H66" s="41"/>
      <c r="I66" s="41"/>
      <c r="J66" s="41"/>
    </row>
    <row r="67" customFormat="false" ht="15" hidden="false" customHeight="true" outlineLevel="0" collapsed="false">
      <c r="B67" s="16" t="s">
        <v>557</v>
      </c>
      <c r="C67" s="16" t="s">
        <v>558</v>
      </c>
      <c r="D67" s="16" t="s">
        <v>559</v>
      </c>
      <c r="E67" s="16" t="s">
        <v>30</v>
      </c>
      <c r="F67" s="16" t="s">
        <v>560</v>
      </c>
    </row>
    <row r="68" customFormat="false" ht="15" hidden="false" customHeight="true" outlineLevel="0" collapsed="false">
      <c r="B68" s="9" t="s">
        <v>34</v>
      </c>
      <c r="C68" s="95" t="n">
        <v>11</v>
      </c>
      <c r="D68" s="14" t="n">
        <f aca="false">Projections!F58</f>
        <v>1393.66781686694</v>
      </c>
      <c r="E68" s="21" t="n">
        <f aca="false">(C68*D68-(Historicals!G216-Historicals!G225))/C38</f>
        <v>344.528669643361</v>
      </c>
      <c r="F68" s="37" t="s">
        <v>561</v>
      </c>
    </row>
    <row r="69" customFormat="false" ht="15" hidden="false" customHeight="true" outlineLevel="0" collapsed="false">
      <c r="B69" s="9" t="s">
        <v>35</v>
      </c>
      <c r="C69" s="95" t="n">
        <v>20</v>
      </c>
      <c r="D69" s="14" t="n">
        <f aca="false">Projections!F70</f>
        <v>697.095503350421</v>
      </c>
      <c r="E69" s="21" t="n">
        <f aca="false">C69*D69/C38</f>
        <v>378.87684295365</v>
      </c>
      <c r="F69" s="37" t="s">
        <v>562</v>
      </c>
    </row>
    <row r="70" customFormat="false" ht="15" hidden="false" customHeight="true" outlineLevel="0" collapsed="false">
      <c r="B70" s="9" t="s">
        <v>36</v>
      </c>
      <c r="C70" s="95" t="n">
        <v>1.8</v>
      </c>
      <c r="D70" s="14" t="n">
        <f aca="false">Historicals!G99</f>
        <v>5450.58</v>
      </c>
      <c r="E70" s="21" t="n">
        <f aca="false">C70*D70/C38</f>
        <v>266.618946681885</v>
      </c>
      <c r="F70" s="37" t="s">
        <v>563</v>
      </c>
    </row>
    <row r="73" customFormat="false" ht="15" hidden="false" customHeight="true" outlineLevel="0" collapsed="false">
      <c r="B73" s="40" t="s">
        <v>564</v>
      </c>
      <c r="C73" s="41"/>
      <c r="D73" s="41"/>
      <c r="E73" s="41"/>
      <c r="F73" s="41"/>
      <c r="G73" s="41"/>
      <c r="H73" s="41"/>
      <c r="I73" s="41"/>
      <c r="J73" s="41"/>
    </row>
    <row r="74" customFormat="false" ht="15" hidden="false" customHeight="true" outlineLevel="0" collapsed="false">
      <c r="B74" s="16" t="s">
        <v>29</v>
      </c>
      <c r="C74" s="16" t="s">
        <v>30</v>
      </c>
      <c r="D74" s="16" t="s">
        <v>31</v>
      </c>
      <c r="E74" s="16" t="s">
        <v>565</v>
      </c>
    </row>
    <row r="75" customFormat="false" ht="15" hidden="false" customHeight="true" outlineLevel="0" collapsed="false">
      <c r="B75" s="9" t="s">
        <v>33</v>
      </c>
      <c r="C75" s="12" t="n">
        <f aca="false">C39</f>
        <v>359.415755225888</v>
      </c>
      <c r="D75" s="58" t="n">
        <v>0.4</v>
      </c>
      <c r="E75" s="21" t="n">
        <f aca="false">C75*D75</f>
        <v>143.766302090355</v>
      </c>
    </row>
    <row r="76" customFormat="false" ht="15" hidden="false" customHeight="true" outlineLevel="0" collapsed="false">
      <c r="B76" s="9" t="s">
        <v>34</v>
      </c>
      <c r="C76" s="12" t="n">
        <f aca="false">E68</f>
        <v>344.528669643361</v>
      </c>
      <c r="D76" s="58" t="n">
        <v>0.3</v>
      </c>
      <c r="E76" s="21" t="n">
        <f aca="false">C76*D76</f>
        <v>103.358600893008</v>
      </c>
    </row>
    <row r="77" customFormat="false" ht="15" hidden="false" customHeight="true" outlineLevel="0" collapsed="false">
      <c r="B77" s="9" t="s">
        <v>35</v>
      </c>
      <c r="C77" s="12" t="n">
        <f aca="false">E69</f>
        <v>378.87684295365</v>
      </c>
      <c r="D77" s="58" t="n">
        <v>0.2</v>
      </c>
      <c r="E77" s="21" t="n">
        <f aca="false">C77*D77</f>
        <v>75.7753685907301</v>
      </c>
    </row>
    <row r="78" customFormat="false" ht="15" hidden="false" customHeight="true" outlineLevel="0" collapsed="false">
      <c r="B78" s="9" t="s">
        <v>36</v>
      </c>
      <c r="C78" s="12" t="n">
        <f aca="false">E70</f>
        <v>266.618946681885</v>
      </c>
      <c r="D78" s="58" t="n">
        <v>0.1</v>
      </c>
      <c r="E78" s="21" t="n">
        <f aca="false">C78*D78</f>
        <v>26.6618946681885</v>
      </c>
    </row>
    <row r="79" customFormat="false" ht="15" hidden="false" customHeight="true" outlineLevel="0" collapsed="false">
      <c r="B79" s="22" t="s">
        <v>566</v>
      </c>
      <c r="C79" s="96" t="s">
        <v>567</v>
      </c>
      <c r="D79" s="97" t="n">
        <f aca="false">SUM(D75:D78)</f>
        <v>1</v>
      </c>
      <c r="E79" s="23" t="n">
        <f aca="false">SUM(E75:E78)</f>
        <v>349.562166242282</v>
      </c>
    </row>
    <row r="81" customFormat="false" ht="15" hidden="false" customHeight="true" outlineLevel="0" collapsed="false">
      <c r="B81" s="9" t="s">
        <v>533</v>
      </c>
      <c r="E81" s="12" t="n">
        <f aca="false">C40</f>
        <v>305.45</v>
      </c>
    </row>
    <row r="82" customFormat="false" ht="15" hidden="false" customHeight="true" outlineLevel="0" collapsed="false">
      <c r="B82" s="7" t="s">
        <v>568</v>
      </c>
      <c r="E82" s="24" t="n">
        <f aca="false">E79/E81-1</f>
        <v>0.14441697902204</v>
      </c>
    </row>
    <row r="83" customFormat="false" ht="15" hidden="false" customHeight="true" outlineLevel="0" collapsed="false">
      <c r="B83" s="7" t="s">
        <v>569</v>
      </c>
      <c r="E83" s="98" t="str">
        <f aca="false">IF(E82&gt;0.15,"BUY",IF(E82&gt;0,"HOLD","SELL"))</f>
        <v>HOLD</v>
      </c>
    </row>
  </sheetData>
  <mergeCells count="2">
    <mergeCell ref="B5:J5"/>
    <mergeCell ref="B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2026-05-24T15:32:36Z</dcterms:created>
  <dc:creator>openpyxl</dc:creator>
  <dc:description/>
  <dc:language>en-US</dc:language>
  <cp:lastModifiedBy/>
  <dcterms:modified xsi:type="dcterms:W3CDTF">2026-05-25T13:57:31Z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